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ae41d9eb1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8b06aebff44add"/>
    <x:sheet xmlns:r="http://schemas.openxmlformats.org/officeDocument/2006/relationships" name="Paper Explicit" sheetId="2" r:id="Rd320084d9d294078"/>
    <x:sheet xmlns:r="http://schemas.openxmlformats.org/officeDocument/2006/relationships" name="Comparison" sheetId="3" r:id="Rc9f1a73ed1fc4f3b"/>
    <x:sheet xmlns:r="http://schemas.openxmlformats.org/officeDocument/2006/relationships" name="User Results" sheetId="4" r:id="Rc488cb966e03415f"/>
    <x:sheet xmlns:r="http://schemas.openxmlformats.org/officeDocument/2006/relationships" name="Paper Results" sheetId="5" r:id="Re31d60eb1829488a"/>
    <x:sheet xmlns:r="http://schemas.openxmlformats.org/officeDocument/2006/relationships" name="README" sheetId="6" r:id="R7451f7720868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+0.0;-0.0;0.0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33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B4C6E7"/>
      </x:right>
      <x:top style="thin">
        <x:color rgb="FFD9E2F3"/>
      </x:top>
    </x:border>
    <x:border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right style="thin">
        <x:color rgb="FFB4C6E7"/>
      </x:right>
      <x:bottom style="thin">
        <x:color rgb="FFD9EAD3"/>
      </x:bottom>
    </x:border>
    <x:border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right style="thin">
        <x:color rgb="FFB4C6E7"/>
      </x:right>
      <x:top style="thin">
        <x:color rgb="FFD9EAD3"/>
      </x:top>
      <x:bottom style="thin">
        <x:color rgb="FFD9EAD3"/>
      </x:bottom>
    </x:border>
    <x:border>
      <x:right style="thin">
        <x:color rgb="FFD9EAD3"/>
      </x:right>
      <x:top style="thin">
        <x:color rgb="FFD9EAD3"/>
      </x:top>
    </x:border>
    <x:border>
      <x:left style="thin">
        <x:color rgb="FFD9EAD3"/>
      </x:left>
      <x:right style="thin">
        <x:color rgb="FFD9EAD3"/>
      </x:right>
      <x:top style="thin">
        <x:color rgb="FFD9EAD3"/>
      </x:top>
    </x:border>
    <x:border>
      <x:left style="thin">
        <x:color rgb="FFD9EAD3"/>
      </x:left>
      <x:right style="thin">
        <x:color rgb="FFB4C6E7"/>
      </x:right>
      <x:top style="thin">
        <x:color rgb="FFD9EAD3"/>
      </x:top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B4C6E7"/>
      </x:righ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4C6E7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B4C6E7"/>
      </x:right>
      <x:top style="thin">
        <x:color rgb="FFD9D9D9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1" fontId="0" fillId="3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right"/>
    </x:xf>
    <x:xf numFmtId="200" fontId="0" fillId="4" borderId="0" xfId="0" applyNumberFormat="1" applyFont="1" applyFill="1" applyBorder="1" applyAlignment="1">
      <x:alignment horizontal="right"/>
    </x:xf>
    <x:xf numFmtId="0" fontId="2" fillId="5" borderId="2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right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6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9" xfId="0" applyNumberFormat="1" applyFont="1" applyFill="1" applyBorder="1"/>
    <x:xf numFmtId="0" fontId="3" fillId="5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3" fillId="5" borderId="23" xfId="0" applyNumberFormat="1" applyFont="1" applyFill="1" applyBorder="1"/>
    <x:xf numFmtId="0" fontId="3" fillId="5" borderId="24" xfId="0" applyNumberFormat="1" applyFont="1" applyFill="1" applyBorder="1"/>
    <x:xf numFmtId="0" fontId="3" fillId="5" borderId="25" xfId="0" applyNumberFormat="1" applyFont="1" applyFill="1" applyBorder="1"/>
    <x:xf numFmtId="0" fontId="3" fillId="5" borderId="26" xfId="0" applyNumberFormat="1" applyFont="1" applyFill="1" applyBorder="1"/>
    <x:xf numFmtId="0" fontId="3" fillId="5" borderId="19" xfId="0" applyNumberFormat="1" applyFont="1" applyFill="1" applyBorder="1" applyAlignment="1">
      <x:alignment wrapText="1"/>
    </x:xf>
    <x:xf numFmtId="0" fontId="3" fillId="5" borderId="20" xfId="0" applyNumberFormat="1" applyFont="1" applyFill="1" applyBorder="1" applyAlignment="1">
      <x:alignment wrapText="1"/>
    </x:xf>
    <x:xf numFmtId="0" fontId="3" fillId="5" borderId="21" xfId="0" applyNumberFormat="1" applyFont="1" applyFill="1" applyBorder="1" applyAlignment="1">
      <x:alignment wrapText="1"/>
    </x:xf>
    <x:xf numFmtId="0" fontId="3" fillId="5" borderId="2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23" xfId="0" applyNumberFormat="1" applyFont="1" applyFill="1" applyBorder="1" applyAlignment="1">
      <x:alignment wrapText="1"/>
    </x:xf>
    <x:xf numFmtId="0" fontId="3" fillId="5" borderId="24" xfId="0" applyNumberFormat="1" applyFont="1" applyFill="1" applyBorder="1" applyAlignment="1">
      <x:alignment wrapText="1"/>
    </x:xf>
    <x:xf numFmtId="0" fontId="3" fillId="5" borderId="25" xfId="0" applyNumberFormat="1" applyFont="1" applyFill="1" applyBorder="1" applyAlignment="1">
      <x:alignment wrapText="1"/>
    </x:xf>
    <x:xf numFmtId="0" fontId="3" fillId="5" borderId="26" xfId="0" applyNumberFormat="1" applyFont="1" applyFill="1" applyBorder="1" applyAlignment="1">
      <x:alignment wrapText="1"/>
    </x:xf>
    <x:xf numFmtId="0" fontId="3" fillId="5" borderId="19" xfId="0" applyNumberFormat="1" applyFont="1" applyFill="1" applyBorder="1" applyAlignment="1">
      <x:alignment vertical="center" wrapText="1"/>
    </x:xf>
    <x:xf numFmtId="0" fontId="3" fillId="5" borderId="20" xfId="0" applyNumberFormat="1" applyFont="1" applyFill="1" applyBorder="1" applyAlignment="1">
      <x:alignment vertical="center" wrapText="1"/>
    </x:xf>
    <x:xf numFmtId="0" fontId="3" fillId="5" borderId="21" xfId="0" applyNumberFormat="1" applyFont="1" applyFill="1" applyBorder="1" applyAlignment="1">
      <x:alignment vertical="center" wrapText="1"/>
    </x:xf>
    <x:xf numFmtId="0" fontId="3" fillId="5" borderId="22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23" xfId="0" applyNumberFormat="1" applyFont="1" applyFill="1" applyBorder="1" applyAlignment="1">
      <x:alignment vertical="center" wrapText="1"/>
    </x:xf>
    <x:xf numFmtId="0" fontId="3" fillId="5" borderId="24" xfId="0" applyNumberFormat="1" applyFont="1" applyFill="1" applyBorder="1" applyAlignment="1">
      <x:alignment vertical="center" wrapText="1"/>
    </x:xf>
    <x:xf numFmtId="0" fontId="3" fillId="5" borderId="25" xfId="0" applyNumberFormat="1" applyFont="1" applyFill="1" applyBorder="1" applyAlignment="1">
      <x:alignment vertical="center" wrapText="1"/>
    </x:xf>
    <x:xf numFmtId="0" fontId="3" fillId="5" borderId="2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27" xfId="0" applyNumberFormat="1" applyFont="1" applyFill="1" applyBorder="1" applyAlignment="1">
      <x:alignment horizontal="center" vertical="center" wrapText="1"/>
    </x:xf>
    <x:xf numFmtId="0" fontId="2" fillId="2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4" fillId="0" borderId="29" xfId="0" applyNumberFormat="1" applyFont="1" applyFill="1" applyBorder="1"/>
    <x:xf numFmtId="0" fontId="4" fillId="0" borderId="31" xfId="0" applyNumberFormat="1" applyFont="1" applyFill="1" applyBorder="1"/>
  </x:cellXfs>
  <x:cellStyles count="1">
    <x:cellStyle name="Normal" xfId="0"/>
  </x:cellStyles>
  <x:dxfs count="8">
    <x:dxf>
      <x:fill>
        <x:patternFill patternType="solid">
          <x:bgColor rgb="FFC6E0B4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cb5db68f24c0a" /><Relationship Type="http://schemas.openxmlformats.org/officeDocument/2006/relationships/theme" Target="/xl/theme/theme1.xml" Id="R6f1a274f9d4d4b7f" /><Relationship Type="http://schemas.microsoft.com/office/2022/11/relationships/FeaturePropertyBag" Target="/xl/featurePropertyBag/featurePropertyBag.xml" Id="R107ebf92ffa04c89" /><Relationship Type="http://schemas.openxmlformats.org/officeDocument/2006/relationships/sharedStrings" Target="/xl/sharedStrings.xml" Id="R543256d980a54a68" /><Relationship Type="http://schemas.openxmlformats.org/officeDocument/2006/relationships/worksheet" Target="/xl/worksheets/sheet1.xml" Id="R428b06aebff44add" /><Relationship Type="http://schemas.openxmlformats.org/officeDocument/2006/relationships/worksheet" Target="/xl/worksheets/sheet2.xml" Id="Rd320084d9d294078" /><Relationship Type="http://schemas.openxmlformats.org/officeDocument/2006/relationships/worksheet" Target="/xl/worksheets/sheet3.xml" Id="Rc9f1a73ed1fc4f3b" /><Relationship Type="http://schemas.openxmlformats.org/officeDocument/2006/relationships/worksheet" Target="/xl/worksheets/sheet4.xml" Id="Rc488cb966e03415f" /><Relationship Type="http://schemas.openxmlformats.org/officeDocument/2006/relationships/worksheet" Target="/xl/worksheets/sheet5.xml" Id="Re31d60eb1829488a" /><Relationship Type="http://schemas.openxmlformats.org/officeDocument/2006/relationships/worksheet" Target="/xl/worksheets/sheet6.xml" Id="R7451f772086842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ExplicitPaperRegionsTable" displayName="ExplicitPaperRegionsTable" ref="A3:M13" headerRowCount="1" totalsRowCount="0" totalsRowShown="0">
  <x:tableColumns count="13">
    <x:tableColumn id="1" name="acronym"/>
    <x:tableColumn id="2" name="anatomical_group"/>
    <x:tableColumn id="3" name="user_latency_ms"/>
    <x:tableColumn id="4" name="user_significant"/>
    <x:tableColumn id="5" name="passes_coverage"/>
    <x:tableColumn id="6" name="paper_pdf_low_ms"/>
    <x:tableColumn id="7" name="paper_pdf_high_ms"/>
    <x:tableColumn id="8" name="paper_pdf_text"/>
    <x:tableColumn id="9" name="delta_to_pdf_ms"/>
    <x:tableColumn id="10" name="pdf_comparison"/>
    <x:tableColumn id="11" name="paper_release_latency_ms"/>
    <x:tableColumn id="12" name="delta_vs_release_ms"/>
    <x:tableColumn id="13" name="pdf_match_fla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RegionComparisonTable" displayName="RegionComparisonTable" ref="A3:AA269" headerRowCount="1" totalsRowCount="0" totalsRowShown="0">
  <x:tableColumns count="27">
    <x:tableColumn id="1" name="acronym"/>
    <x:tableColumn id="2" name="full_name"/>
    <x:tableColumn id="3" name="anatomical_group"/>
    <x:tableColumn id="4" name="user_n_pids"/>
    <x:tableColumn id="5" name="user_n_units"/>
    <x:tableColumn id="6" name="user_amplitude_hz"/>
    <x:tableColumn id="7" name="user_latency_ms"/>
    <x:tableColumn id="8" name="user_p_value"/>
    <x:tableColumn id="9" name="user_q_value"/>
    <x:tableColumn id="10" name="user_passes_coverage"/>
    <x:tableColumn id="11" name="user_significant"/>
    <x:tableColumn id="12" name="user_reliable_significant"/>
    <x:tableColumn id="13" name="paper_analyzed"/>
    <x:tableColumn id="14" name="paper_significant"/>
    <x:tableColumn id="15" name="paper_effect_log10_hz"/>
    <x:tableColumn id="16" name="paper_release_latency_ms"/>
    <x:tableColumn id="17" name="paper_release_effect_hz"/>
    <x:tableColumn id="18" name="paper_release_significant"/>
    <x:tableColumn id="19" name="delta_vs_release_ms"/>
    <x:tableColumn id="20" name="abs_delta_vs_release_ms"/>
    <x:tableColumn id="21" name="significance_comparison"/>
    <x:tableColumn id="22" name="latency_comparison_release"/>
    <x:tableColumn id="23" name="pdf_reported"/>
    <x:tableColumn id="24" name="paper_pdf_low_ms"/>
    <x:tableColumn id="25" name="paper_pdf_high_ms"/>
    <x:tableColumn id="26" name="paper_pdf_text"/>
    <x:tableColumn id="27" name="pdf_compari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ResultsTable" displayName="UserResultsTable" ref="A3:J269" headerRowCount="1" totalsRowCount="0" totalsRowShown="0">
  <x:tableColumns count="10">
    <x:tableColumn id="1" name="acronym"/>
    <x:tableColumn id="2" name="anatomical_group"/>
    <x:tableColumn id="3" name="n_pids"/>
    <x:tableColumn id="4" name="n_units"/>
    <x:tableColumn id="5" name="amplitude_hz"/>
    <x:tableColumn id="6" name="latency_ms"/>
    <x:tableColumn id="7" name="p_value"/>
    <x:tableColumn id="8" name="passes_coverage"/>
    <x:tableColumn id="9" name="q_value"/>
    <x:tableColumn id="10" name="significa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perResultsTable" displayName="PaperResultsTable" ref="A3:J282" headerRowCount="1" totalsRowCount="0" totalsRowShown="0">
  <x:tableColumns count="10">
    <x:tableColumn id="1" name="acronym"/>
    <x:tableColumn id="2" name="full_name"/>
    <x:tableColumn id="3" name="anatomical_group"/>
    <x:tableColumn id="4" name="paper_canonical"/>
    <x:tableColumn id="5" name="paper_effect_log10_hz"/>
    <x:tableColumn id="6" name="paper_significant"/>
    <x:tableColumn id="7" name="paper_release_latency_ms"/>
    <x:tableColumn id="8" name="paper_release_effect_hz"/>
    <x:tableColumn id="9" name="paper_release_significant"/>
    <x:tableColumn id="10" name="paper_analyz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26c4c37d6c43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060fe4b410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0baf9f1a9547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ae4555a73f49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4" hidden="0" customWidth="1"/>
    <x:col min="4" max="4" width="2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3" t="str">
        <x:v>Q3 comparison summary</x:v>
      </x:c>
      <x:c r="B1" s="3"/>
      <x:c r="C1" s="3"/>
      <x:c r="D1" s="3"/>
      <x:c r="E1" s="3"/>
      <x:c r="F1" s="3"/>
      <x:c r="G1" s="3"/>
    </x:row>
    <x:row r="3" ht="34" customHeight="1">
      <x:c r="A3" s="42" t="str">
        <x:v>Metric</x:v>
      </x:c>
      <x:c r="B3" s="43" t="str">
        <x:v>Value</x:v>
      </x:c>
      <x:c r="D3" s="50" t="str">
        <x:v>Anatomical group</x:v>
      </x:c>
      <x:c r="E3" s="51" t="str">
        <x:v>User reliable sig</x:v>
      </x:c>
      <x:c r="F3" s="51" t="str">
        <x:v>Paper sig</x:v>
      </x:c>
      <x:c r="G3" s="52" t="str">
        <x:v>Significant in both</x:v>
      </x:c>
    </x:row>
    <x:row r="4">
      <x:c r="A4" s="44" t="str">
        <x:v>User regions retained</x:v>
      </x:c>
      <x:c r="B4" s="48" t="n">
        <x:f>COUNTA('Comparison'!$A$4:$A$269)</x:f>
        <x:v>266</x:v>
      </x:c>
      <x:c r="D4" s="53" t="str">
        <x:v>Isocortex</x:v>
      </x:c>
      <x:c r="E4" s="54" t="n">
        <x:f>COUNTIFS('Comparison'!$C$4:$C$269,D4,'Comparison'!$L$4:$L$269,1)</x:f>
        <x:v>7</x:v>
      </x:c>
      <x:c r="F4" s="54" t="n">
        <x:f>COUNTIFS('Comparison'!$C$4:$C$269,D4,'Comparison'!$N$4:$N$269,1)</x:f>
        <x:v>21</x:v>
      </x:c>
      <x:c r="G4" s="55" t="n">
        <x:f>COUNTIFS('Comparison'!$C$4:$C$269,D4,'Comparison'!$L$4:$L$269,1,'Comparison'!$N$4:$N$269,1)</x:f>
        <x:v>7</x:v>
      </x:c>
    </x:row>
    <x:row r="5">
      <x:c r="A5" s="44" t="str">
        <x:v>Paper regions analysed (overlap)</x:v>
      </x:c>
      <x:c r="B5" s="48" t="n">
        <x:f>COUNTIF('Comparison'!$M$4:$M$269,1)</x:f>
        <x:v>201</x:v>
      </x:c>
      <x:c r="D5" s="53" t="str">
        <x:v>Olfactory areas</x:v>
      </x:c>
      <x:c r="E5" s="54" t="n">
        <x:f>COUNTIFS('Comparison'!$C$4:$C$269,D5,'Comparison'!$L$4:$L$269,1)</x:f>
        <x:v>0</x:v>
      </x:c>
      <x:c r="F5" s="54" t="n">
        <x:f>COUNTIFS('Comparison'!$C$4:$C$269,D5,'Comparison'!$N$4:$N$269,1)</x:f>
        <x:v>1</x:v>
      </x:c>
      <x:c r="G5" s="55" t="n">
        <x:f>COUNTIFS('Comparison'!$C$4:$C$269,D5,'Comparison'!$L$4:$L$269,1,'Comparison'!$N$4:$N$269,1)</x:f>
        <x:v>0</x:v>
      </x:c>
    </x:row>
    <x:row r="6">
      <x:c r="A6" s="44" t="str">
        <x:v>Paper significant regions</x:v>
      </x:c>
      <x:c r="B6" s="48" t="n">
        <x:f>COUNTIF('Comparison'!$N$4:$N$269,1)</x:f>
        <x:v>104</x:v>
      </x:c>
      <x:c r="D6" s="53" t="str">
        <x:v>Hippocampal formation</x:v>
      </x:c>
      <x:c r="E6" s="54" t="n">
        <x:f>COUNTIFS('Comparison'!$C$4:$C$269,D6,'Comparison'!$L$4:$L$269,1)</x:f>
        <x:v>1</x:v>
      </x:c>
      <x:c r="F6" s="54" t="n">
        <x:f>COUNTIFS('Comparison'!$C$4:$C$269,D6,'Comparison'!$N$4:$N$269,1)</x:f>
        <x:v>7</x:v>
      </x:c>
      <x:c r="G6" s="55" t="n">
        <x:f>COUNTIFS('Comparison'!$C$4:$C$269,D6,'Comparison'!$L$4:$L$269,1,'Comparison'!$N$4:$N$269,1)</x:f>
        <x:v>1</x:v>
      </x:c>
    </x:row>
    <x:row r="7">
      <x:c r="A7" s="44" t="str">
        <x:v>User significant regions</x:v>
      </x:c>
      <x:c r="B7" s="48" t="n">
        <x:f>COUNTIF('Comparison'!$K$4:$K$269,1)</x:f>
        <x:v>40</x:v>
      </x:c>
      <x:c r="D7" s="53" t="str">
        <x:v>Cortical subplate</x:v>
      </x:c>
      <x:c r="E7" s="54" t="n">
        <x:f>COUNTIFS('Comparison'!$C$4:$C$269,D7,'Comparison'!$L$4:$L$269,1)</x:f>
        <x:v>0</x:v>
      </x:c>
      <x:c r="F7" s="54" t="n">
        <x:f>COUNTIFS('Comparison'!$C$4:$C$269,D7,'Comparison'!$N$4:$N$269,1)</x:f>
        <x:v>1</x:v>
      </x:c>
      <x:c r="G7" s="55" t="n">
        <x:f>COUNTIFS('Comparison'!$C$4:$C$269,D7,'Comparison'!$L$4:$L$269,1,'Comparison'!$N$4:$N$269,1)</x:f>
        <x:v>0</x:v>
      </x:c>
    </x:row>
    <x:row r="8">
      <x:c r="A8" s="44" t="str">
        <x:v>User reliable + significant regions</x:v>
      </x:c>
      <x:c r="B8" s="48" t="n">
        <x:f>COUNTIF('Comparison'!$L$4:$L$269,1)</x:f>
        <x:v>38</x:v>
      </x:c>
      <x:c r="D8" s="53" t="str">
        <x:v>Cerebral nuclei</x:v>
      </x:c>
      <x:c r="E8" s="54" t="n">
        <x:f>COUNTIFS('Comparison'!$C$4:$C$269,D8,'Comparison'!$L$4:$L$269,1)</x:f>
        <x:v>5</x:v>
      </x:c>
      <x:c r="F8" s="54" t="n">
        <x:f>COUNTIFS('Comparison'!$C$4:$C$269,D8,'Comparison'!$N$4:$N$269,1)</x:f>
        <x:v>8</x:v>
      </x:c>
      <x:c r="G8" s="55" t="n">
        <x:f>COUNTIFS('Comparison'!$C$4:$C$269,D8,'Comparison'!$L$4:$L$269,1,'Comparison'!$N$4:$N$269,1)</x:f>
        <x:v>3</x:v>
      </x:c>
    </x:row>
    <x:row r="9">
      <x:c r="A9" s="44" t="str">
        <x:v>Significant in both</x:v>
      </x:c>
      <x:c r="B9" s="48" t="n">
        <x:f>COUNTIFS('Comparison'!$L$4:$L$269,1,'Comparison'!$N$4:$N$269,1)</x:f>
        <x:v>35</x:v>
      </x:c>
      <x:c r="D9" s="53" t="str">
        <x:v>Thalamus</x:v>
      </x:c>
      <x:c r="E9" s="54" t="n">
        <x:f>COUNTIFS('Comparison'!$C$4:$C$269,D9,'Comparison'!$L$4:$L$269,1)</x:f>
        <x:v>6</x:v>
      </x:c>
      <x:c r="F9" s="54" t="n">
        <x:f>COUNTIFS('Comparison'!$C$4:$C$269,D9,'Comparison'!$N$4:$N$269,1)</x:f>
        <x:v>15</x:v>
      </x:c>
      <x:c r="G9" s="55" t="n">
        <x:f>COUNTIFS('Comparison'!$C$4:$C$269,D9,'Comparison'!$L$4:$L$269,1,'Comparison'!$N$4:$N$269,1)</x:f>
        <x:v>6</x:v>
      </x:c>
    </x:row>
    <x:row r="10">
      <x:c r="A10" s="44" t="str">
        <x:v>Paper only significant</x:v>
      </x:c>
      <x:c r="B10" s="48" t="n">
        <x:f>COUNTIFS('Comparison'!$M$4:$M$269,1,'Comparison'!$N$4:$N$269,1,'Comparison'!$L$4:$L$269,0)</x:f>
        <x:v>69</x:v>
      </x:c>
      <x:c r="D10" s="53" t="str">
        <x:v>Hypothalamus</x:v>
      </x:c>
      <x:c r="E10" s="54" t="n">
        <x:f>COUNTIFS('Comparison'!$C$4:$C$269,D10,'Comparison'!$L$4:$L$269,1)</x:f>
        <x:v>1</x:v>
      </x:c>
      <x:c r="F10" s="54" t="n">
        <x:f>COUNTIFS('Comparison'!$C$4:$C$269,D10,'Comparison'!$N$4:$N$269,1)</x:f>
        <x:v>2</x:v>
      </x:c>
      <x:c r="G10" s="55" t="n">
        <x:f>COUNTIFS('Comparison'!$C$4:$C$269,D10,'Comparison'!$L$4:$L$269,1,'Comparison'!$N$4:$N$269,1)</x:f>
        <x:v>1</x:v>
      </x:c>
    </x:row>
    <x:row r="11">
      <x:c r="A11" s="44" t="str">
        <x:v>User only significant</x:v>
      </x:c>
      <x:c r="B11" s="48" t="n">
        <x:f>COUNTIFS('Comparison'!$M$4:$M$269,1,'Comparison'!$N$4:$N$269,0,'Comparison'!$L$4:$L$269,1)</x:f>
        <x:v>2</x:v>
      </x:c>
      <x:c r="D11" s="53" t="str">
        <x:v>Midbrain</x:v>
      </x:c>
      <x:c r="E11" s="54" t="n">
        <x:f>COUNTIFS('Comparison'!$C$4:$C$269,D11,'Comparison'!$L$4:$L$269,1)</x:f>
        <x:v>7</x:v>
      </x:c>
      <x:c r="F11" s="54" t="n">
        <x:f>COUNTIFS('Comparison'!$C$4:$C$269,D11,'Comparison'!$N$4:$N$269,1)</x:f>
        <x:v>17</x:v>
      </x:c>
      <x:c r="G11" s="55" t="n">
        <x:f>COUNTIFS('Comparison'!$C$4:$C$269,D11,'Comparison'!$L$4:$L$269,1,'Comparison'!$N$4:$N$269,1)</x:f>
        <x:v>7</x:v>
      </x:c>
    </x:row>
    <x:row r="12">
      <x:c r="A12" s="44" t="str">
        <x:v>Neither significant (paper-analysed)</x:v>
      </x:c>
      <x:c r="B12" s="48" t="n">
        <x:f>COUNTIFS('Comparison'!$M$4:$M$269,1,'Comparison'!$N$4:$N$269,0,'Comparison'!$L$4:$L$269,0)</x:f>
        <x:v>95</x:v>
      </x:c>
      <x:c r="D12" s="53" t="str">
        <x:v>Hindbrain</x:v>
      </x:c>
      <x:c r="E12" s="54" t="n">
        <x:f>COUNTIFS('Comparison'!$C$4:$C$269,D12,'Comparison'!$L$4:$L$269,1)</x:f>
        <x:v>7</x:v>
      </x:c>
      <x:c r="F12" s="54" t="n">
        <x:f>COUNTIFS('Comparison'!$C$4:$C$269,D12,'Comparison'!$N$4:$N$269,1)</x:f>
        <x:v>22</x:v>
      </x:c>
      <x:c r="G12" s="55" t="n">
        <x:f>COUNTIFS('Comparison'!$C$4:$C$269,D12,'Comparison'!$L$4:$L$269,1,'Comparison'!$N$4:$N$269,1)</x:f>
        <x:v>7</x:v>
      </x:c>
    </x:row>
    <x:row r="13">
      <x:c r="A13" s="44" t="str">
        <x:v>Not analysed in paper</x:v>
      </x:c>
      <x:c r="B13" s="48" t="n">
        <x:f>COUNTIF('Comparison'!$M$4:$M$269,0)</x:f>
        <x:v>65</x:v>
      </x:c>
      <x:c r="D13" s="56" t="str">
        <x:v>Cerebellum</x:v>
      </x:c>
      <x:c r="E13" s="57" t="n">
        <x:f>COUNTIFS('Comparison'!$C$4:$C$269,D13,'Comparison'!$L$4:$L$269,1)</x:f>
        <x:v>4</x:v>
      </x:c>
      <x:c r="F13" s="57" t="n">
        <x:f>COUNTIFS('Comparison'!$C$4:$C$269,D13,'Comparison'!$N$4:$N$269,1)</x:f>
        <x:v>10</x:v>
      </x:c>
      <x:c r="G13" s="58" t="n">
        <x:f>COUNTIFS('Comparison'!$C$4:$C$269,D13,'Comparison'!$L$4:$L$269,1,'Comparison'!$N$4:$N$269,1)</x:f>
        <x:v>3</x:v>
      </x:c>
    </x:row>
    <x:row r="14">
      <x:c r="A14" s="44" t="str">
        <x:v>PDF-explicit regions</x:v>
      </x:c>
      <x:c r="B14" s="48" t="n">
        <x:f>COUNTIF('Comparison'!$W$4:$W$269,1)</x:f>
        <x:v>10</x:v>
      </x:c>
    </x:row>
    <x:row r="15">
      <x:c r="A15" s="44" t="str">
        <x:v>PDF-explicit user reliable + significant</x:v>
      </x:c>
      <x:c r="B15" s="48" t="n">
        <x:f>COUNTIFS('Comparison'!$W$4:$W$269,1,'Comparison'!$L$4:$L$269,1)</x:f>
        <x:v>10</x:v>
      </x:c>
    </x:row>
    <x:row r="16">
      <x:c r="A16" s="46" t="str">
        <x:v>PDF-explicit within stated value/range or 15 ms</x:v>
      </x:c>
      <x:c r="B16" s="49" t="n">
        <x:f>SUM('Paper Explicit'!$M$4:$M$13)</x:f>
        <x:v>9</x:v>
      </x:c>
    </x:row>
    <x:row r="18">
      <x:c r="A18" s="78" t="str">
        <x:v>Interpretation: the ten regions explicitly discussed in the paper are all significant and coverage-qualified in the user analysis. The broad early visual-thalamic/cortical and later midbrain-hindbrain sequence is reproduced. The full significance map is more conservative in the user pipeline (38 vs 104 regions).</x:v>
      </x:c>
      <x:c r="B18" s="79"/>
      <x:c r="C18" s="79"/>
      <x:c r="D18" s="79"/>
      <x:c r="E18" s="79"/>
      <x:c r="F18" s="79"/>
      <x:c r="G18" s="80"/>
    </x:row>
    <x:row r="19">
      <x:c r="A19" s="81"/>
      <x:c r="B19" s="82"/>
      <x:c r="C19" s="82"/>
      <x:c r="D19" s="82"/>
      <x:c r="E19" s="82"/>
      <x:c r="F19" s="82"/>
      <x:c r="G19" s="83"/>
    </x:row>
    <x:row r="20">
      <x:c r="A20" s="84"/>
      <x:c r="B20" s="85"/>
      <x:c r="C20" s="85"/>
      <x:c r="D20" s="85"/>
      <x:c r="E20" s="85"/>
      <x:c r="F20" s="85"/>
      <x:c r="G20" s="86"/>
    </x:row>
  </x:sheetData>
  <x:mergeCells>
    <x:mergeCell ref="A1:G1"/>
    <x:mergeCell ref="A18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88999938964844" hidden="0" customWidth="1"/>
    <x:col min="2" max="2" width="24" hidden="0" customWidth="1"/>
    <x:col min="3" max="3" width="15.779999732971191" hidden="0" customWidth="1"/>
    <x:col min="4" max="4" width="15" hidden="0" customWidth="1"/>
    <x:col min="5" max="5" width="16.219999313354492" hidden="0" customWidth="1"/>
    <x:col min="6" max="6" width="17.329999923706055" hidden="0" customWidth="1"/>
    <x:col min="7" max="7" width="17.889999389648438" hidden="0" customWidth="1"/>
    <x:col min="8" max="8" width="28" hidden="0" customWidth="1"/>
    <x:col min="9" max="9" width="15.4399995803833" hidden="0" customWidth="1"/>
    <x:col min="10" max="10" width="28" hidden="0" customWidth="1"/>
    <x:col min="11" max="11" width="23.219999313354492" hidden="0" customWidth="1"/>
    <x:col min="12" max="12" width="18.780000686645508" hidden="0" customWidth="1"/>
    <x:col min="13" max="13" width="14.670000076293945" hidden="0" customWidth="1"/>
  </x:cols>
  <x:sheetData>
    <x:row r="1" ht="30" customHeight="1">
      <x:c r="A1" s="3" t="str">
        <x:v>Regions explicitly discussed in Fig. 4 text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34" customHeight="1">
      <x:c r="A3" s="14" t="str">
        <x:v>acronym</x:v>
      </x:c>
      <x:c r="B3" s="15" t="str">
        <x:v>anatomical_group</x:v>
      </x:c>
      <x:c r="C3" s="15" t="str">
        <x:v>user_latency_ms</x:v>
      </x:c>
      <x:c r="D3" s="15" t="str">
        <x:v>user_significant</x:v>
      </x:c>
      <x:c r="E3" s="15" t="str">
        <x:v>passes_coverage</x:v>
      </x:c>
      <x:c r="F3" s="15" t="str">
        <x:v>paper_pdf_low_ms</x:v>
      </x:c>
      <x:c r="G3" s="15" t="str">
        <x:v>paper_pdf_high_ms</x:v>
      </x:c>
      <x:c r="H3" s="15" t="str">
        <x:v>paper_pdf_text</x:v>
      </x:c>
      <x:c r="I3" s="15" t="str">
        <x:v>delta_to_pdf_ms</x:v>
      </x:c>
      <x:c r="J3" s="15" t="str">
        <x:v>pdf_comparison</x:v>
      </x:c>
      <x:c r="K3" s="15" t="str">
        <x:v>paper_release_latency_ms</x:v>
      </x:c>
      <x:c r="L3" s="15" t="str">
        <x:v>delta_vs_release_ms</x:v>
      </x:c>
      <x:c r="M3" s="16" t="str">
        <x:v>pdf_match_flag</x:v>
      </x:c>
    </x:row>
    <x:row r="4">
      <x:c r="A4" t="str">
        <x:v>LGd</x:v>
      </x:c>
      <x:c r="B4" t="str">
        <x:v>Thalamus</x:v>
      </x:c>
      <x:c r="C4" s="40" t="n">
        <x:v>35.89242008520696</x:v>
      </x:c>
      <x:c r="D4" s="17" t="b">
        <x:v>1</x:v>
      </x:c>
      <x:c r="E4" s="17" t="b">
        <x:v>1</x:v>
      </x:c>
      <x:c r="F4" s="40" t="n">
        <x:v>34</x:v>
      </x:c>
      <x:c r="G4" s="40" t="n">
        <x:v>34</x:v>
      </x:c>
      <x:c r="H4" t="str">
        <x:v>approximately 34 ms</x:v>
      </x:c>
      <x:c r="I4" s="41" t="n">
        <x:f>IF(F4=G4,C4-F4,IF(C4&lt;F4,C4-F4,IF(C4&gt;G4,C4-G4,0)))</x:f>
        <x:v>1.8924200852069575</x:v>
      </x:c>
      <x:c r="J4" t="str">
        <x:f>IF(AND(C4&gt;=F4,C4&lt;=G4),"Within reported value/range",IF(ABS(I4)&lt;=15,"Within 15 ms","Different"))</x:f>
        <x:v>Within 15 ms</x:v>
      </x:c>
      <x:c r="K4" s="40" t="n">
        <x:v>34.0425531914893</x:v>
      </x:c>
      <x:c r="L4" s="40" t="n">
        <x:f>IF(K4="","",C4-K4)</x:f>
        <x:v>1.8498668937176603</x:v>
      </x:c>
      <x:c r="M4" t="n">
        <x:f>IF(J4="Different",0,1)</x:f>
        <x:v>1</x:v>
      </x:c>
    </x:row>
    <x:row r="5">
      <x:c r="A5" t="str">
        <x:v>VISp</x:v>
      </x:c>
      <x:c r="B5" t="str">
        <x:v>Isocortex</x:v>
      </x:c>
      <x:c r="C5" s="40" t="n">
        <x:v>49.716550680310185</x:v>
      </x:c>
      <x:c r="D5" s="17" t="b">
        <x:v>1</x:v>
      </x:c>
      <x:c r="E5" s="17" t="b">
        <x:v>1</x:v>
      </x:c>
      <x:c r="F5" s="40" t="n">
        <x:v>42</x:v>
      </x:c>
      <x:c r="G5" s="40" t="n">
        <x:v>42</x:v>
      </x:c>
      <x:c r="H5" t="str">
        <x:v>approximately 42 ms</x:v>
      </x:c>
      <x:c r="I5" s="41" t="n">
        <x:f>IF(F5=G5,C5-F5,IF(C5&lt;F5,C5-F5,IF(C5&gt;G5,C5-G5,0)))</x:f>
        <x:v>7.716550680310185</x:v>
      </x:c>
      <x:c r="J5" t="str">
        <x:f>IF(AND(C5&gt;=F5,C5&lt;=G5),"Within reported value/range",IF(ABS(I5)&lt;=15,"Within 15 ms","Different"))</x:f>
        <x:v>Within 15 ms</x:v>
      </x:c>
      <x:c r="K5" s="40" t="n">
        <x:v>44.6808510638297</x:v>
      </x:c>
      <x:c r="L5" s="40" t="n">
        <x:f>IF(K5="","",C5-K5)</x:f>
        <x:v>5.0356996164804855</x:v>
      </x:c>
      <x:c r="M5" t="n">
        <x:f>IF(J5="Different",0,1)</x:f>
        <x:v>1</x:v>
      </x:c>
    </x:row>
    <x:row r="6">
      <x:c r="A6" t="str">
        <x:v>LP</x:v>
      </x:c>
      <x:c r="B6" t="str">
        <x:v>Thalamus</x:v>
      </x:c>
      <x:c r="C6" s="40" t="n">
        <x:v>52.279056249266745</x:v>
      </x:c>
      <x:c r="D6" s="17" t="b">
        <x:v>1</x:v>
      </x:c>
      <x:c r="E6" s="17" t="b">
        <x:v>1</x:v>
      </x:c>
      <x:c r="F6" s="40" t="n">
        <x:v>42</x:v>
      </x:c>
      <x:c r="G6" s="40" t="n">
        <x:v>42</x:v>
      </x:c>
      <x:c r="H6" t="str">
        <x:v>approximately 42 ms</x:v>
      </x:c>
      <x:c r="I6" s="41" t="n">
        <x:f>IF(F6=G6,C6-F6,IF(C6&lt;F6,C6-F6,IF(C6&gt;G6,C6-G6,0)))</x:f>
        <x:v>10.279056249266745</x:v>
      </x:c>
      <x:c r="J6" t="str">
        <x:f>IF(AND(C6&gt;=F6,C6&lt;=G6),"Within reported value/range",IF(ABS(I6)&lt;=15,"Within 15 ms","Different"))</x:f>
        <x:v>Within 15 ms</x:v>
      </x:c>
      <x:c r="K6" s="40" t="n">
        <x:v>46.808510638297804</x:v>
      </x:c>
      <x:c r="L6" s="40" t="n">
        <x:f>IF(K6="","",C6-K6)</x:f>
        <x:v>5.470545610968941</x:v>
      </x:c>
      <x:c r="M6" t="n">
        <x:f>IF(J6="Different",0,1)</x:f>
        <x:v>1</x:v>
      </x:c>
    </x:row>
    <x:row r="7">
      <x:c r="A7" t="str">
        <x:v>VISpm</x:v>
      </x:c>
      <x:c r="B7" t="str">
        <x:v>Isocortex</x:v>
      </x:c>
      <x:c r="C7" s="40" t="n">
        <x:v>64.6665412027366</x:v>
      </x:c>
      <x:c r="D7" s="17" t="b">
        <x:v>1</x:v>
      </x:c>
      <x:c r="E7" s="17" t="b">
        <x:v>1</x:v>
      </x:c>
      <x:c r="F7" s="40" t="n">
        <x:v>57</x:v>
      </x:c>
      <x:c r="G7" s="40" t="n">
        <x:v>57</x:v>
      </x:c>
      <x:c r="H7" t="str">
        <x:v>approximately 57 ms</x:v>
      </x:c>
      <x:c r="I7" s="41" t="n">
        <x:f>IF(F7=G7,C7-F7,IF(C7&lt;F7,C7-F7,IF(C7&gt;G7,C7-G7,0)))</x:f>
        <x:v>7.666541202736596</x:v>
      </x:c>
      <x:c r="J7" t="str">
        <x:f>IF(AND(C7&gt;=F7,C7&lt;=G7),"Within reported value/range",IF(ABS(I7)&lt;=15,"Within 15 ms","Different"))</x:f>
        <x:v>Within 15 ms</x:v>
      </x:c>
      <x:c r="K7" s="40" t="n">
        <x:v>59.574468085106304</x:v>
      </x:c>
      <x:c r="L7" s="40" t="n">
        <x:f>IF(K7="","",C7-K7)</x:f>
        <x:v>5.092073117630292</x:v>
      </x:c>
      <x:c r="M7" t="n">
        <x:f>IF(J7="Different",0,1)</x:f>
        <x:v>1</x:v>
      </x:c>
    </x:row>
    <x:row r="8">
      <x:c r="A8" t="str">
        <x:v>VISam</x:v>
      </x:c>
      <x:c r="B8" t="str">
        <x:v>Isocortex</x:v>
      </x:c>
      <x:c r="C8" s="40" t="n">
        <x:v>62.66680923955178</x:v>
      </x:c>
      <x:c r="D8" s="17" t="b">
        <x:v>1</x:v>
      </x:c>
      <x:c r="E8" s="17" t="b">
        <x:v>1</x:v>
      </x:c>
      <x:c r="F8" s="40" t="n">
        <x:v>78</x:v>
      </x:c>
      <x:c r="G8" s="40" t="n">
        <x:v>78</x:v>
      </x:c>
      <x:c r="H8" t="str">
        <x:v>approximately 78 ms</x:v>
      </x:c>
      <x:c r="I8" s="41" t="n">
        <x:f>IF(F8=G8,C8-F8,IF(C8&lt;F8,C8-F8,IF(C8&gt;G8,C8-G8,0)))</x:f>
        <x:v>-15.333190760448218</x:v>
      </x:c>
      <x:c r="J8" t="str">
        <x:f>IF(AND(C8&gt;=F8,C8&lt;=G8),"Within reported value/range",IF(ABS(I8)&lt;=15,"Within 15 ms","Different"))</x:f>
        <x:v>Different</x:v>
      </x:c>
      <x:c r="K8" s="40" t="n">
        <x:v>65.9574468085106</x:v>
      </x:c>
      <x:c r="L8" s="40" t="n">
        <x:f>IF(K8="","",C8-K8)</x:f>
        <x:v>-3.2906375689588145</x:v>
      </x:c>
      <x:c r="M8" t="n">
        <x:f>IF(J8="Different",0,1)</x:f>
        <x:v>0</x:v>
      </x:c>
    </x:row>
    <x:row r="9">
      <x:c r="A9" t="str">
        <x:v>MRN</x:v>
      </x:c>
      <x:c r="B9" t="str">
        <x:v>Midbrain</x:v>
      </x:c>
      <x:c r="C9" s="40" t="n">
        <x:v>107.94296935678928</x:v>
      </x:c>
      <x:c r="D9" s="17" t="b">
        <x:v>1</x:v>
      </x:c>
      <x:c r="E9" s="17" t="b">
        <x:v>1</x:v>
      </x:c>
      <x:c r="F9" s="40" t="n">
        <x:v>100</x:v>
      </x:c>
      <x:c r="G9" s="40" t="n">
        <x:v>120</x:v>
      </x:c>
      <x:c r="H9" t="str">
        <x:v>approximately 100-120 ms</x:v>
      </x:c>
      <x:c r="I9" s="41" t="n">
        <x:f>IF(F9=G9,C9-F9,IF(C9&lt;F9,C9-F9,IF(C9&gt;G9,C9-G9,0)))</x:f>
        <x:v>0</x:v>
      </x:c>
      <x:c r="J9" t="str">
        <x:f>IF(AND(C9&gt;=F9,C9&lt;=G9),"Within reported value/range",IF(ABS(I9)&lt;=15,"Within 15 ms","Different"))</x:f>
        <x:v>Within reported value/range</x:v>
      </x:c>
      <x:c r="K9" s="40" t="n">
        <x:v>78.7234042553191</x:v>
      </x:c>
      <x:c r="L9" s="40" t="n">
        <x:f>IF(K9="","",C9-K9)</x:f>
        <x:v>29.21956510147018</x:v>
      </x:c>
      <x:c r="M9" t="n">
        <x:f>IF(J9="Different",0,1)</x:f>
        <x:v>1</x:v>
      </x:c>
    </x:row>
    <x:row r="10">
      <x:c r="A10" t="str">
        <x:v>SCm</x:v>
      </x:c>
      <x:c r="B10" t="str">
        <x:v>Midbrain</x:v>
      </x:c>
      <x:c r="C10" s="40" t="n">
        <x:v>111.37609020477896</x:v>
      </x:c>
      <x:c r="D10" s="17" t="b">
        <x:v>1</x:v>
      </x:c>
      <x:c r="E10" s="17" t="b">
        <x:v>1</x:v>
      </x:c>
      <x:c r="F10" s="40" t="n">
        <x:v>100</x:v>
      </x:c>
      <x:c r="G10" s="40" t="n">
        <x:v>120</x:v>
      </x:c>
      <x:c r="H10" t="str">
        <x:v>approximately 100-120 ms</x:v>
      </x:c>
      <x:c r="I10" s="41" t="n">
        <x:f>IF(F10=G10,C10-F10,IF(C10&lt;F10,C10-F10,IF(C10&gt;G10,C10-G10,0)))</x:f>
        <x:v>0</x:v>
      </x:c>
      <x:c r="J10" t="str">
        <x:f>IF(AND(C10&gt;=F10,C10&lt;=G10),"Within reported value/range",IF(ABS(I10)&lt;=15,"Within 15 ms","Different"))</x:f>
        <x:v>Within reported value/range</x:v>
      </x:c>
      <x:c r="K10" s="40" t="n">
        <x:v>78.7234042553191</x:v>
      </x:c>
      <x:c r="L10" s="40" t="n">
        <x:f>IF(K10="","",C10-K10)</x:f>
        <x:v>32.652685949459865</x:v>
      </x:c>
      <x:c r="M10" t="n">
        <x:f>IF(J10="Different",0,1)</x:f>
        <x:v>1</x:v>
      </x:c>
    </x:row>
    <x:row r="11">
      <x:c r="A11" t="str">
        <x:v>PRNr</x:v>
      </x:c>
      <x:c r="B11" t="str">
        <x:v>Hindbrain</x:v>
      </x:c>
      <x:c r="C11" s="40" t="n">
        <x:v>108.54778442693748</x:v>
      </x:c>
      <x:c r="D11" s="17" t="b">
        <x:v>1</x:v>
      </x:c>
      <x:c r="E11" s="17" t="b">
        <x:v>1</x:v>
      </x:c>
      <x:c r="F11" s="40" t="n">
        <x:v>100</x:v>
      </x:c>
      <x:c r="G11" s="40" t="n">
        <x:v>120</x:v>
      </x:c>
      <x:c r="H11" t="str">
        <x:v>approximately 100-120 ms</x:v>
      </x:c>
      <x:c r="I11" s="41" t="n">
        <x:f>IF(F11=G11,C11-F11,IF(C11&lt;F11,C11-F11,IF(C11&gt;G11,C11-G11,0)))</x:f>
        <x:v>0</x:v>
      </x:c>
      <x:c r="J11" t="str">
        <x:f>IF(AND(C11&gt;=F11,C11&lt;=G11),"Within reported value/range",IF(ABS(I11)&lt;=15,"Within 15 ms","Different"))</x:f>
        <x:v>Within reported value/range</x:v>
      </x:c>
      <x:c r="K11" s="40" t="n">
        <x:v>89.3617021276595</x:v>
      </x:c>
      <x:c r="L11" s="40" t="n">
        <x:f>IF(K11="","",C11-K11)</x:f>
        <x:v>19.186082299277984</x:v>
      </x:c>
      <x:c r="M11" t="n">
        <x:f>IF(J11="Different",0,1)</x:f>
        <x:v>1</x:v>
      </x:c>
    </x:row>
    <x:row r="12">
      <x:c r="A12" t="str">
        <x:v>IRN</x:v>
      </x:c>
      <x:c r="B12" t="str">
        <x:v>Hindbrain</x:v>
      </x:c>
      <x:c r="C12" s="40" t="n">
        <x:v>119.17715310777434</x:v>
      </x:c>
      <x:c r="D12" s="17" t="b">
        <x:v>1</x:v>
      </x:c>
      <x:c r="E12" s="17" t="b">
        <x:v>1</x:v>
      </x:c>
      <x:c r="F12" s="40" t="n">
        <x:v>100</x:v>
      </x:c>
      <x:c r="G12" s="40" t="n">
        <x:v>120</x:v>
      </x:c>
      <x:c r="H12" t="str">
        <x:v>approximately 100-120 ms</x:v>
      </x:c>
      <x:c r="I12" s="41" t="n">
        <x:f>IF(F12=G12,C12-F12,IF(C12&lt;F12,C12-F12,IF(C12&gt;G12,C12-G12,0)))</x:f>
        <x:v>0</x:v>
      </x:c>
      <x:c r="J12" t="str">
        <x:f>IF(AND(C12&gt;=F12,C12&lt;=G12),"Within reported value/range",IF(ABS(I12)&lt;=15,"Within 15 ms","Different"))</x:f>
        <x:v>Within reported value/range</x:v>
      </x:c>
      <x:c r="K12" s="40" t="n">
        <x:v>89.3617021276595</x:v>
      </x:c>
      <x:c r="L12" s="40" t="n">
        <x:f>IF(K12="","",C12-K12)</x:f>
        <x:v>29.815450980114846</x:v>
      </x:c>
      <x:c r="M12" t="n">
        <x:f>IF(J12="Different",0,1)</x:f>
        <x:v>1</x:v>
      </x:c>
    </x:row>
    <x:row r="13">
      <x:c r="A13" t="str">
        <x:v>GRN</x:v>
      </x:c>
      <x:c r="B13" t="str">
        <x:v>Hindbrain</x:v>
      </x:c>
      <x:c r="C13" s="40" t="n">
        <x:v>109.00560645062268</x:v>
      </x:c>
      <x:c r="D13" s="17" t="b">
        <x:v>1</x:v>
      </x:c>
      <x:c r="E13" s="17" t="b">
        <x:v>1</x:v>
      </x:c>
      <x:c r="F13" s="40" t="n">
        <x:v>100</x:v>
      </x:c>
      <x:c r="G13" s="40" t="n">
        <x:v>120</x:v>
      </x:c>
      <x:c r="H13" t="str">
        <x:v>approximately 100-120 ms</x:v>
      </x:c>
      <x:c r="I13" s="41" t="n">
        <x:f>IF(F13=G13,C13-F13,IF(C13&lt;F13,C13-F13,IF(C13&gt;G13,C13-G13,0)))</x:f>
        <x:v>0</x:v>
      </x:c>
      <x:c r="J13" t="str">
        <x:f>IF(AND(C13&gt;=F13,C13&lt;=G13),"Within reported value/range",IF(ABS(I13)&lt;=15,"Within 15 ms","Different"))</x:f>
        <x:v>Within reported value/range</x:v>
      </x:c>
      <x:c r="K13" s="40" t="n">
        <x:v>89.3617021276595</x:v>
      </x:c>
      <x:c r="L13" s="40" t="n">
        <x:f>IF(K13="","",C13-K13)</x:f>
        <x:v>19.64390432296318</x:v>
      </x:c>
      <x:c r="M13" t="n">
        <x:f>IF(J13="Different",0,1)</x:f>
        <x:v>1</x:v>
      </x:c>
    </x:row>
  </x:sheetData>
  <x:mergeCells>
    <x:mergeCell ref="A1:M1"/>
  </x:mergeCells>
  <x:conditionalFormatting sqref="J4:J13">
    <x:cfRule type="beginsWith" dxfId="6" priority="1" operator="beginsWith" text="Within"/>
    <x:cfRule type="containsText" dxfId="7" priority="2" operator="containsText" text="Different"/>
  </x:conditionalFormatting>
  <x:pageMargins left="0.7" right="0.7" top="0.75" bottom="0.75" header="0.3" footer="0.3"/>
  <x:tableParts count="1">
    <x:tablePart xmlns:r="http://schemas.openxmlformats.org/officeDocument/2006/relationships" r:id="R4726c4c37d6c43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24" hidden="0" customWidth="1"/>
    <x:col min="4" max="4" width="11" hidden="0" customWidth="1"/>
    <x:col min="5" max="5" width="11" hidden="0" customWidth="1"/>
    <x:col min="6" max="6" width="14" hidden="0" customWidth="1"/>
    <x:col min="7" max="7" width="14" hidden="0" customWidth="1"/>
    <x:col min="8" max="8" width="11" hidden="0" customWidth="1"/>
    <x:col min="9" max="9" width="11" hidden="0" customWidth="1"/>
    <x:col min="10" max="10" width="15" hidden="0" customWidth="1"/>
    <x:col min="11" max="11" width="13" hidden="0" customWidth="1"/>
    <x:col min="12" max="12" width="17" hidden="0" customWidth="1"/>
    <x:col min="13" max="13" width="13" hidden="0" customWidth="1"/>
    <x:col min="14" max="14" width="14" hidden="0" customWidth="1"/>
    <x:col min="15" max="15" width="18" hidden="0" customWidth="1"/>
    <x:col min="16" max="16" width="18" hidden="0" customWidth="1"/>
    <x:col min="17" max="17" width="17" hidden="0" customWidth="1"/>
    <x:col min="18" max="18" width="17" hidden="0" customWidth="1"/>
    <x:col min="19" max="19" width="17" hidden="0" customWidth="1"/>
    <x:col min="20" max="20" width="18" hidden="0" customWidth="1"/>
    <x:col min="21" max="21" width="24" hidden="0" customWidth="1"/>
    <x:col min="22" max="22" width="28" hidden="0" customWidth="1"/>
    <x:col min="23" max="23" width="12" hidden="0" customWidth="1"/>
    <x:col min="24" max="24" width="15" hidden="0" customWidth="1"/>
    <x:col min="25" max="25" width="16" hidden="0" customWidth="1"/>
    <x:col min="26" max="26" width="26" hidden="0" customWidth="1"/>
    <x:col min="27" max="27" width="27" hidden="0" customWidth="1"/>
  </x:cols>
  <x:sheetData>
    <x:row r="1" ht="30" customHeight="1">
      <x:c r="A1" s="3" t="str">
        <x:v>Q3 region-by-region comparison: user analysis vs IBL paper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3" ht="34" customHeight="1">
      <x:c r="A3" s="14" t="str">
        <x:v>acronym</x:v>
      </x:c>
      <x:c r="B3" s="15" t="str">
        <x:v>full_name</x:v>
      </x:c>
      <x:c r="C3" s="15" t="str">
        <x:v>anatomical_group</x:v>
      </x:c>
      <x:c r="D3" s="15" t="str">
        <x:v>user_n_pids</x:v>
      </x:c>
      <x:c r="E3" s="15" t="str">
        <x:v>user_n_units</x:v>
      </x:c>
      <x:c r="F3" s="15" t="str">
        <x:v>user_amplitude_hz</x:v>
      </x:c>
      <x:c r="G3" s="15" t="str">
        <x:v>user_latency_ms</x:v>
      </x:c>
      <x:c r="H3" s="15" t="str">
        <x:v>user_p_value</x:v>
      </x:c>
      <x:c r="I3" s="15" t="str">
        <x:v>user_q_value</x:v>
      </x:c>
      <x:c r="J3" s="15" t="str">
        <x:v>user_passes_coverage</x:v>
      </x:c>
      <x:c r="K3" s="15" t="str">
        <x:v>user_significant</x:v>
      </x:c>
      <x:c r="L3" s="15" t="str">
        <x:v>user_reliable_significant</x:v>
      </x:c>
      <x:c r="M3" s="15" t="str">
        <x:v>paper_analyzed</x:v>
      </x:c>
      <x:c r="N3" s="15" t="str">
        <x:v>paper_significant</x:v>
      </x:c>
      <x:c r="O3" s="15" t="str">
        <x:v>paper_effect_log10_hz</x:v>
      </x:c>
      <x:c r="P3" s="15" t="str">
        <x:v>paper_release_latency_ms</x:v>
      </x:c>
      <x:c r="Q3" s="15" t="str">
        <x:v>paper_release_effect_hz</x:v>
      </x:c>
      <x:c r="R3" s="15" t="str">
        <x:v>paper_release_significant</x:v>
      </x:c>
      <x:c r="S3" s="15" t="str">
        <x:v>delta_vs_release_ms</x:v>
      </x:c>
      <x:c r="T3" s="15" t="str">
        <x:v>abs_delta_vs_release_ms</x:v>
      </x:c>
      <x:c r="U3" s="15" t="str">
        <x:v>significance_comparison</x:v>
      </x:c>
      <x:c r="V3" s="15" t="str">
        <x:v>latency_comparison_release</x:v>
      </x:c>
      <x:c r="W3" s="15" t="str">
        <x:v>pdf_reported</x:v>
      </x:c>
      <x:c r="X3" s="15" t="str">
        <x:v>paper_pdf_low_ms</x:v>
      </x:c>
      <x:c r="Y3" s="15" t="str">
        <x:v>paper_pdf_high_ms</x:v>
      </x:c>
      <x:c r="Z3" s="15" t="str">
        <x:v>paper_pdf_text</x:v>
      </x:c>
      <x:c r="AA3" s="16" t="str">
        <x:v>pdf_comparison</x:v>
      </x:c>
    </x:row>
    <x:row r="4">
      <x:c r="A4" s="20" t="str">
        <x:v>ANcr1</x:v>
      </x:c>
      <x:c r="B4" s="20" t="str">
        <x:v>Crus 1</x:v>
      </x:c>
      <x:c r="C4" s="20" t="str">
        <x:v>Cerebellum</x:v>
      </x:c>
      <x:c r="D4" s="24" t="n">
        <x:v>10</x:v>
      </x:c>
      <x:c r="E4" s="24" t="n">
        <x:v>421</x:v>
      </x:c>
      <x:c r="F4" s="25" t="n">
        <x:v>4.604554504324652</x:v>
      </x:c>
      <x:c r="G4" s="25" t="n">
        <x:v>90.88824072984208</x:v>
      </x:c>
      <x:c r="H4" s="26" t="n">
        <x:v>0.0029970029970029</x:v>
      </x:c>
      <x:c r="I4" s="26" t="n">
        <x:v>0.0150415622113735</x:v>
      </x:c>
      <x:c r="J4" s="27" t="b">
        <x:v>1</x:v>
      </x:c>
      <x:c r="K4" s="27" t="b">
        <x:v>0</x:v>
      </x:c>
      <x:c r="L4" s="24" t="b">
        <x:f>AND(J4,K4)</x:f>
        <x:v>0</x:v>
      </x:c>
      <x:c r="M4" s="29" t="b">
        <x:v>1</x:v>
      </x:c>
      <x:c r="N4" s="30" t="n">
        <x:v>1</x:v>
      </x:c>
      <x:c r="O4" s="31" t="n">
        <x:v>-0.32</x:v>
      </x:c>
      <x:c r="P4" s="31" t="n">
        <x:v>95.7446808510638</x:v>
      </x:c>
      <x:c r="Q4" s="31" t="n">
        <x:v>0.3522433567367487</x:v>
      </x:c>
      <x:c r="R4" s="31" t="n">
        <x:v>1</x:v>
      </x:c>
      <x:c r="S4" s="33" t="n">
        <x:f>IF(OR(G4="",P4=""),"",G4-P4)</x:f>
        <x:v>-4.856440121221723</x:v>
      </x:c>
      <x:c r="T4" s="33" t="n">
        <x:f>IF(S4="","",ABS(S4))</x:f>
        <x:v>4.856440121221723</x:v>
      </x:c>
      <x:c r="U4" s="34" t="str">
        <x:f>IF(M4=FALSE,"Not analysed in paper",IF(K4=N4,"Significance agrees",IF(K4=TRUE,"User only","Paper only")))</x:f>
        <x:v>Paper only</x:v>
      </x:c>
      <x:c r="V4" s="34" t="str">
        <x:f>IF(M4=FALSE,"Not analysed in paper",IF(L4=FALSE,"User not reliable/significant",IF(N4=FALSE,"Paper not significant",IF(P4="","Exact paper latency unavailable",IF(T4&lt;=10,"Close (&lt;=10 ms)",IF(T4&lt;=20,"Similar (10-20 ms)","Different (&gt;20 ms)"))))))</x:f>
        <x:v>User not reliable/significant</x:v>
      </x:c>
      <x:c r="W4" s="37" t="b">
        <x:v>0</x:v>
      </x:c>
      <x:c r="X4" s="38"/>
      <x:c r="Y4" s="38"/>
      <x:c r="Z4" s="39"/>
      <x:c r="AA4" s="39" t="str">
        <x:f>IF(W4=FALSE,"Not explicitly reported in PDF",IF(AND(G4&gt;=X4,G4&lt;=Y4),"Within PDF value/range",IF(MIN(ABS(G4-X4),ABS(G4-Y4))&lt;=15,"Within 15 ms of PDF","Different from PDF")))</x:f>
        <x:v>Not explicitly reported in PDF</x:v>
      </x:c>
    </x:row>
    <x:row r="5">
      <x:c r="A5" s="20" t="str">
        <x:v>ANcr2</x:v>
      </x:c>
      <x:c r="B5" s="20" t="str">
        <x:v>Crus 2</x:v>
      </x:c>
      <x:c r="C5" s="20" t="str">
        <x:v>Cerebellum</x:v>
      </x:c>
      <x:c r="D5" s="24" t="n">
        <x:v>17</x:v>
      </x:c>
      <x:c r="E5" s="24" t="n">
        <x:v>519</x:v>
      </x:c>
      <x:c r="F5" s="25" t="n">
        <x:v>4.196604341538385</x:v>
      </x:c>
      <x:c r="G5" s="25" t="n">
        <x:v>121.422389400773</x:v>
      </x:c>
      <x:c r="H5" s="26" t="n">
        <x:v>0.0279720279720279</x:v>
      </x:c>
      <x:c r="I5" s="26" t="n">
        <x:v>0.0759240759240759</x:v>
      </x:c>
      <x:c r="J5" s="27" t="b">
        <x:v>1</x:v>
      </x:c>
      <x:c r="K5" s="27" t="b">
        <x:v>0</x:v>
      </x:c>
      <x:c r="L5" s="24" t="b">
        <x:f>AND(J5,K5)</x:f>
        <x:v>0</x:v>
      </x:c>
      <x:c r="M5" s="29" t="b">
        <x:v>1</x:v>
      </x:c>
      <x:c r="N5" s="30" t="n">
        <x:v>1</x:v>
      </x:c>
      <x:c r="O5" s="31" t="n">
        <x:v>-0.71</x:v>
      </x:c>
      <x:c r="P5" s="31" t="n">
        <x:v>34.0425531914893</x:v>
      </x:c>
      <x:c r="Q5" s="31" t="n">
        <x:v>0.1917511073539747</x:v>
      </x:c>
      <x:c r="R5" s="31" t="n">
        <x:v>0</x:v>
      </x:c>
      <x:c r="S5" s="33" t="n">
        <x:f>IF(OR(G5="",P5=""),"",G5-P5)</x:f>
        <x:v>87.3798362092837</x:v>
      </x:c>
      <x:c r="T5" s="33" t="n">
        <x:f>IF(S5="","",ABS(S5))</x:f>
        <x:v>87.3798362092837</x:v>
      </x:c>
      <x:c r="U5" s="34" t="str">
        <x:f>IF(M5=FALSE,"Not analysed in paper",IF(K5=N5,"Significance agrees",IF(K5=TRUE,"User only","Paper only")))</x:f>
        <x:v>Paper only</x:v>
      </x:c>
      <x:c r="V5" s="34" t="str">
        <x:f>IF(M5=FALSE,"Not analysed in paper",IF(L5=FALSE,"User not reliable/significant",IF(N5=FALSE,"Paper not significant",IF(P5="","Exact paper latency unavailable",IF(T5&lt;=10,"Close (&lt;=10 ms)",IF(T5&lt;=20,"Similar (10-20 ms)","Different (&gt;20 ms)"))))))</x:f>
        <x:v>User not reliable/significant</x:v>
      </x:c>
      <x:c r="W5" s="37" t="b">
        <x:v>0</x:v>
      </x:c>
      <x:c r="X5" s="38"/>
      <x:c r="Y5" s="38"/>
      <x:c r="Z5" s="39"/>
      <x:c r="AA5" s="39" t="str">
        <x:f>IF(W5=FALSE,"Not explicitly reported in PDF",IF(AND(G5&gt;=X5,G5&lt;=Y5),"Within PDF value/range",IF(MIN(ABS(G5-X5),ABS(G5-Y5))&lt;=15,"Within 15 ms of PDF","Different from PDF")))</x:f>
        <x:v>Not explicitly reported in PDF</x:v>
      </x:c>
    </x:row>
    <x:row r="6">
      <x:c r="A6" s="20" t="str">
        <x:v>CENT2</x:v>
      </x:c>
      <x:c r="B6" s="20" t="str">
        <x:v>Lobule II</x:v>
      </x:c>
      <x:c r="C6" s="20" t="str">
        <x:v>Cerebellum</x:v>
      </x:c>
      <x:c r="D6" s="24" t="n">
        <x:v>16</x:v>
      </x:c>
      <x:c r="E6" s="24" t="n">
        <x:v>613</x:v>
      </x:c>
      <x:c r="F6" s="25" t="n">
        <x:v>5.156684276561507</x:v>
      </x:c>
      <x:c r="G6" s="25" t="n">
        <x:v>133.55636429081142</x:v>
      </x:c>
      <x:c r="H6" s="26" t="n">
        <x:v>0.2697302697302697</x:v>
      </x:c>
      <x:c r="I6" s="26" t="n">
        <x:v>0.4245458683328506</x:v>
      </x:c>
      <x:c r="J6" s="27" t="b">
        <x:v>1</x:v>
      </x:c>
      <x:c r="K6" s="27" t="b">
        <x:v>0</x:v>
      </x:c>
      <x:c r="L6" s="24" t="b">
        <x:f>AND(J6,K6)</x:f>
        <x:v>0</x:v>
      </x:c>
      <x:c r="M6" s="29" t="b">
        <x:v>1</x:v>
      </x:c>
      <x:c r="N6" s="30" t="n">
        <x:v>0</x:v>
      </x:c>
      <x:c r="O6" s="31" t="n">
        <x:v>-0.95</x:v>
      </x:c>
      <x:c r="P6" s="31"/>
      <x:c r="Q6" s="31" t="n">
        <x:v>0.1508905686416847</x:v>
      </x:c>
      <x:c r="R6" s="31" t="n">
        <x:v>1</x:v>
      </x:c>
      <x:c r="S6" s="33" t="str">
        <x:f>IF(OR(G6="",P6=""),"",G6-P6)</x:f>
      </x:c>
      <x:c r="T6" s="33" t="str">
        <x:f>IF(S6="","",ABS(S6))</x:f>
      </x:c>
      <x:c r="U6" s="34" t="str">
        <x:f>IF(M6=FALSE,"Not analysed in paper",IF(K6=N6,"Significance agrees",IF(K6=TRUE,"User only","Paper only")))</x:f>
        <x:v>Significance agrees</x:v>
      </x:c>
      <x:c r="V6" s="34" t="str">
        <x:f>IF(M6=FALSE,"Not analysed in paper",IF(L6=FALSE,"User not reliable/significant",IF(N6=FALSE,"Paper not significant",IF(P6="","Exact paper latency unavailable",IF(T6&lt;=10,"Close (&lt;=10 ms)",IF(T6&lt;=20,"Similar (10-20 ms)","Different (&gt;20 ms)"))))))</x:f>
        <x:v>User not reliable/significant</x:v>
      </x:c>
      <x:c r="W6" s="37" t="b">
        <x:v>0</x:v>
      </x:c>
      <x:c r="X6" s="38"/>
      <x:c r="Y6" s="38"/>
      <x:c r="Z6" s="39"/>
      <x:c r="AA6" s="39" t="str">
        <x:f>IF(W6=FALSE,"Not explicitly reported in PDF",IF(AND(G6&gt;=X6,G6&lt;=Y6),"Within PDF value/range",IF(MIN(ABS(G6-X6),ABS(G6-Y6))&lt;=15,"Within 15 ms of PDF","Different from PDF")))</x:f>
        <x:v>Not explicitly reported in PDF</x:v>
      </x:c>
    </x:row>
    <x:row r="7">
      <x:c r="A7" s="20" t="str">
        <x:v>CENT3</x:v>
      </x:c>
      <x:c r="B7" s="20" t="str">
        <x:v>Lobule III</x:v>
      </x:c>
      <x:c r="C7" s="20" t="str">
        <x:v>Cerebellum</x:v>
      </x:c>
      <x:c r="D7" s="24" t="n">
        <x:v>28</x:v>
      </x:c>
      <x:c r="E7" s="24" t="n">
        <x:v>663</x:v>
      </x:c>
      <x:c r="F7" s="25" t="n">
        <x:v>8.835406177666663</x:v>
      </x:c>
      <x:c r="G7" s="25" t="n">
        <x:v>129.84364433711346</x:v>
      </x:c>
      <x:c r="H7" s="26" t="n">
        <x:v>0.0009990009990009</x:v>
      </x:c>
      <x:c r="I7" s="26" t="n">
        <x:v>0.0066433566433566</x:v>
      </x:c>
      <x:c r="J7" s="27" t="b">
        <x:v>1</x:v>
      </x:c>
      <x:c r="K7" s="27" t="b">
        <x:v>1</x:v>
      </x:c>
      <x:c r="L7" s="24" t="b">
        <x:f>AND(J7,K7)</x:f>
        <x:v>1</x:v>
      </x:c>
      <x:c r="M7" s="29" t="b">
        <x:v>1</x:v>
      </x:c>
      <x:c r="N7" s="30" t="n">
        <x:v>1</x:v>
      </x:c>
      <x:c r="O7" s="31" t="n">
        <x:v>-0.59</x:v>
      </x:c>
      <x:c r="P7" s="31" t="n">
        <x:v>91.4893617021276</x:v>
      </x:c>
      <x:c r="Q7" s="31" t="n">
        <x:v>0.3556137259171004</x:v>
      </x:c>
      <x:c r="R7" s="31" t="n">
        <x:v>1</x:v>
      </x:c>
      <x:c r="S7" s="33" t="n">
        <x:f>IF(OR(G7="",P7=""),"",G7-P7)</x:f>
        <x:v>38.354282634985864</x:v>
      </x:c>
      <x:c r="T7" s="33" t="n">
        <x:f>IF(S7="","",ABS(S7))</x:f>
        <x:v>38.354282634985864</x:v>
      </x:c>
      <x:c r="U7" s="34" t="str">
        <x:f>IF(M7=FALSE,"Not analysed in paper",IF(K7=N7,"Significance agrees",IF(K7=TRUE,"User only","Paper only")))</x:f>
        <x:v>Significance agrees</x:v>
      </x:c>
      <x:c r="V7" s="34" t="str">
        <x:f>IF(M7=FALSE,"Not analysed in paper",IF(L7=FALSE,"User not reliable/significant",IF(N7=FALSE,"Paper not significant",IF(P7="","Exact paper latency unavailable",IF(T7&lt;=10,"Close (&lt;=10 ms)",IF(T7&lt;=20,"Similar (10-20 ms)","Different (&gt;20 ms)"))))))</x:f>
        <x:v>Different (&gt;20 ms)</x:v>
      </x:c>
      <x:c r="W7" s="37" t="b">
        <x:v>0</x:v>
      </x:c>
      <x:c r="X7" s="38"/>
      <x:c r="Y7" s="38"/>
      <x:c r="Z7" s="39"/>
      <x:c r="AA7" s="39" t="str">
        <x:f>IF(W7=FALSE,"Not explicitly reported in PDF",IF(AND(G7&gt;=X7,G7&lt;=Y7),"Within PDF value/range",IF(MIN(ABS(G7-X7),ABS(G7-Y7))&lt;=15,"Within 15 ms of PDF","Different from PDF")))</x:f>
        <x:v>Not explicitly reported in PDF</x:v>
      </x:c>
    </x:row>
    <x:row r="8">
      <x:c r="A8" s="20" t="str">
        <x:v>COPY</x:v>
      </x:c>
      <x:c r="B8" s="20" t="str">
        <x:v>Copula pyramidis</x:v>
      </x:c>
      <x:c r="C8" s="20" t="str">
        <x:v>Cerebellum</x:v>
      </x:c>
      <x:c r="D8" s="24" t="n">
        <x:v>15</x:v>
      </x:c>
      <x:c r="E8" s="24" t="n">
        <x:v>284</x:v>
      </x:c>
      <x:c r="F8" s="25" t="n">
        <x:v>2.967841296258954</x:v>
      </x:c>
      <x:c r="G8" s="25" t="n">
        <x:v>113.50251874693905</x:v>
      </x:c>
      <x:c r="H8" s="26" t="n">
        <x:v>0.6533466533466533</x:v>
      </x:c>
      <x:c r="I8" s="26" t="n">
        <x:v>0.7622377622377622</x:v>
      </x:c>
      <x:c r="J8" s="27" t="b">
        <x:v>1</x:v>
      </x:c>
      <x:c r="K8" s="27" t="b">
        <x:v>0</x:v>
      </x:c>
      <x:c r="L8" s="24" t="b">
        <x:f>AND(J8,K8)</x:f>
        <x:v>0</x:v>
      </x:c>
      <x:c r="M8" s="29" t="b">
        <x:v>1</x:v>
      </x:c>
      <x:c r="N8" s="30" t="n">
        <x:v>0</x:v>
      </x:c>
      <x:c r="O8" s="31" t="n">
        <x:v>-0.69</x:v>
      </x:c>
      <x:c r="P8" s="31"/>
      <x:c r="Q8" s="31" t="n">
        <x:v>0.1688943692951384</x:v>
      </x:c>
      <x:c r="R8" s="31" t="n">
        <x:v>1</x:v>
      </x:c>
      <x:c r="S8" s="33" t="str">
        <x:f>IF(OR(G8="",P8=""),"",G8-P8)</x:f>
      </x:c>
      <x:c r="T8" s="33" t="str">
        <x:f>IF(S8="","",ABS(S8))</x:f>
      </x:c>
      <x:c r="U8" s="34" t="str">
        <x:f>IF(M8=FALSE,"Not analysed in paper",IF(K8=N8,"Significance agrees",IF(K8=TRUE,"User only","Paper only")))</x:f>
        <x:v>Significance agrees</x:v>
      </x:c>
      <x:c r="V8" s="34" t="str">
        <x:f>IF(M8=FALSE,"Not analysed in paper",IF(L8=FALSE,"User not reliable/significant",IF(N8=FALSE,"Paper not significant",IF(P8="","Exact paper latency unavailable",IF(T8&lt;=10,"Close (&lt;=10 ms)",IF(T8&lt;=20,"Similar (10-20 ms)","Different (&gt;20 ms)"))))))</x:f>
        <x:v>User not reliable/significant</x:v>
      </x:c>
      <x:c r="W8" s="37" t="b">
        <x:v>0</x:v>
      </x:c>
      <x:c r="X8" s="38"/>
      <x:c r="Y8" s="38"/>
      <x:c r="Z8" s="39"/>
      <x:c r="AA8" s="39" t="str">
        <x:f>IF(W8=FALSE,"Not explicitly reported in PDF",IF(AND(G8&gt;=X8,G8&lt;=Y8),"Within PDF value/range",IF(MIN(ABS(G8-X8),ABS(G8-Y8))&lt;=15,"Within 15 ms of PDF","Different from PDF")))</x:f>
        <x:v>Not explicitly reported in PDF</x:v>
      </x:c>
    </x:row>
    <x:row r="9">
      <x:c r="A9" s="20" t="str">
        <x:v>CUL4 5</x:v>
      </x:c>
      <x:c r="B9" s="20" t="str">
        <x:v>Lobules IV-V</x:v>
      </x:c>
      <x:c r="C9" s="20" t="str">
        <x:v>Cerebellum</x:v>
      </x:c>
      <x:c r="D9" s="24" t="n">
        <x:v>34</x:v>
      </x:c>
      <x:c r="E9" s="24" t="n">
        <x:v>1207</x:v>
      </x:c>
      <x:c r="F9" s="25" t="n">
        <x:v>4.271333053135401</x:v>
      </x:c>
      <x:c r="G9" s="25" t="n">
        <x:v>123.70374204510397</x:v>
      </x:c>
      <x:c r="H9" s="26" t="n">
        <x:v>0.0359640359640359</x:v>
      </x:c>
      <x:c r="I9" s="26" t="n">
        <x:v>0.0911088911088911</x:v>
      </x:c>
      <x:c r="J9" s="27" t="b">
        <x:v>1</x:v>
      </x:c>
      <x:c r="K9" s="27" t="b">
        <x:v>0</x:v>
      </x:c>
      <x:c r="L9" s="24" t="b">
        <x:f>AND(J9,K9)</x:f>
        <x:v>0</x:v>
      </x:c>
      <x:c r="M9" s="29" t="b">
        <x:v>1</x:v>
      </x:c>
      <x:c r="N9" s="30" t="n">
        <x:v>1</x:v>
      </x:c>
      <x:c r="O9" s="31" t="n">
        <x:v>-0.86</x:v>
      </x:c>
      <x:c r="P9" s="31" t="n">
        <x:v>87.23404255319139</x:v>
      </x:c>
      <x:c r="Q9" s="31" t="n">
        <x:v>0.1965540225042265</x:v>
      </x:c>
      <x:c r="R9" s="31" t="n">
        <x:v>1</x:v>
      </x:c>
      <x:c r="S9" s="33" t="n">
        <x:f>IF(OR(G9="",P9=""),"",G9-P9)</x:f>
        <x:v>36.46969949191258</x:v>
      </x:c>
      <x:c r="T9" s="33" t="n">
        <x:f>IF(S9="","",ABS(S9))</x:f>
        <x:v>36.46969949191258</x:v>
      </x:c>
      <x:c r="U9" s="34" t="str">
        <x:f>IF(M9=FALSE,"Not analysed in paper",IF(K9=N9,"Significance agrees",IF(K9=TRUE,"User only","Paper only")))</x:f>
        <x:v>Paper only</x:v>
      </x:c>
      <x:c r="V9" s="34" t="str">
        <x:f>IF(M9=FALSE,"Not analysed in paper",IF(L9=FALSE,"User not reliable/significant",IF(N9=FALSE,"Paper not significant",IF(P9="","Exact paper latency unavailable",IF(T9&lt;=10,"Close (&lt;=10 ms)",IF(T9&lt;=20,"Similar (10-20 ms)","Different (&gt;20 ms)"))))))</x:f>
        <x:v>User not reliable/significant</x:v>
      </x:c>
      <x:c r="W9" s="37" t="b">
        <x:v>0</x:v>
      </x:c>
      <x:c r="X9" s="38"/>
      <x:c r="Y9" s="38"/>
      <x:c r="Z9" s="39"/>
      <x:c r="AA9" s="39" t="str">
        <x:f>IF(W9=FALSE,"Not explicitly reported in PDF",IF(AND(G9&gt;=X9,G9&lt;=Y9),"Within PDF value/range",IF(MIN(ABS(G9-X9),ABS(G9-Y9))&lt;=15,"Within 15 ms of PDF","Different from PDF")))</x:f>
        <x:v>Not explicitly reported in PDF</x:v>
      </x:c>
    </x:row>
    <x:row r="10">
      <x:c r="A10" s="20" t="str">
        <x:v>DEC</x:v>
      </x:c>
      <x:c r="B10" s="20" t="str">
        <x:v>Declive (VI)</x:v>
      </x:c>
      <x:c r="C10" s="20" t="str">
        <x:v>Cerebellum</x:v>
      </x:c>
      <x:c r="D10" s="24" t="n">
        <x:v>7</x:v>
      </x:c>
      <x:c r="E10" s="24" t="n">
        <x:v>190</x:v>
      </x:c>
      <x:c r="F10" s="25" t="n">
        <x:v>1.251408032160942</x:v>
      </x:c>
      <x:c r="G10" s="25" t="n">
        <x:v>93.9480463387003</x:v>
      </x:c>
      <x:c r="H10" s="26" t="n">
        <x:v>0.5704295704295704</x:v>
      </x:c>
      <x:c r="I10" s="26" t="n">
        <x:v>0.6940639269406392</x:v>
      </x:c>
      <x:c r="J10" s="27" t="b">
        <x:v>1</x:v>
      </x:c>
      <x:c r="K10" s="27" t="b">
        <x:v>0</x:v>
      </x:c>
      <x:c r="L10" s="24" t="b">
        <x:f>AND(J10,K10)</x:f>
        <x:v>0</x:v>
      </x:c>
      <x:c r="M10" s="29" t="b">
        <x:v>1</x:v>
      </x:c>
      <x:c r="N10" s="30" t="n">
        <x:v>0</x:v>
      </x:c>
      <x:c r="O10" s="31" t="n">
        <x:v>-0.86</x:v>
      </x:c>
      <x:c r="P10" s="31"/>
      <x:c r="Q10" s="31"/>
      <x:c r="R10" s="31"/>
      <x:c r="S10" s="33" t="str">
        <x:f>IF(OR(G10="",P10=""),"",G10-P10)</x:f>
      </x:c>
      <x:c r="T10" s="33" t="str">
        <x:f>IF(S10="","",ABS(S10))</x:f>
      </x:c>
      <x:c r="U10" s="34" t="str">
        <x:f>IF(M10=FALSE,"Not analysed in paper",IF(K10=N10,"Significance agrees",IF(K10=TRUE,"User only","Paper only")))</x:f>
        <x:v>Significance agrees</x:v>
      </x:c>
      <x:c r="V10" s="34" t="str">
        <x:f>IF(M10=FALSE,"Not analysed in paper",IF(L10=FALSE,"User not reliable/significant",IF(N10=FALSE,"Paper not significant",IF(P10="","Exact paper latency unavailable",IF(T10&lt;=10,"Close (&lt;=10 ms)",IF(T10&lt;=20,"Similar (10-20 ms)","Different (&gt;20 ms)"))))))</x:f>
        <x:v>User not reliable/significant</x:v>
      </x:c>
      <x:c r="W10" s="37" t="b">
        <x:v>0</x:v>
      </x:c>
      <x:c r="X10" s="38"/>
      <x:c r="Y10" s="38"/>
      <x:c r="Z10" s="39"/>
      <x:c r="AA10" s="39" t="str">
        <x:f>IF(W10=FALSE,"Not explicitly reported in PDF",IF(AND(G10&gt;=X10,G10&lt;=Y10),"Within PDF value/range",IF(MIN(ABS(G10-X10),ABS(G10-Y10))&lt;=15,"Within 15 ms of PDF","Different from PDF")))</x:f>
        <x:v>Not explicitly reported in PDF</x:v>
      </x:c>
    </x:row>
    <x:row r="11">
      <x:c r="A11" s="20" t="str">
        <x:v>DN</x:v>
      </x:c>
      <x:c r="B11" s="20" t="str">
        <x:v>Dentate nucleus</x:v>
      </x:c>
      <x:c r="C11" s="20" t="str">
        <x:v>Cerebellum</x:v>
      </x:c>
      <x:c r="D11" s="24" t="n">
        <x:v>9</x:v>
      </x:c>
      <x:c r="E11" s="24" t="n">
        <x:v>197</x:v>
      </x:c>
      <x:c r="F11" s="25" t="n">
        <x:v>9.993472702753984</x:v>
      </x:c>
      <x:c r="G11" s="25" t="n">
        <x:v>119.9205810660884</x:v>
      </x:c>
      <x:c r="H11" s="26" t="n">
        <x:v>0.0009990009990009</x:v>
      </x:c>
      <x:c r="I11" s="26" t="n">
        <x:v>0.0066433566433566</x:v>
      </x:c>
      <x:c r="J11" s="27" t="b">
        <x:v>1</x:v>
      </x:c>
      <x:c r="K11" s="27" t="b">
        <x:v>1</x:v>
      </x:c>
      <x:c r="L11" s="24" t="b">
        <x:f>AND(J11,K11)</x:f>
        <x:v>1</x:v>
      </x:c>
      <x:c r="M11" s="29" t="b">
        <x:v>1</x:v>
      </x:c>
      <x:c r="N11" s="30" t="n">
        <x:v>1</x:v>
      </x:c>
      <x:c r="O11" s="31" t="n">
        <x:v>-0.22</x:v>
      </x:c>
      <x:c r="P11" s="31" t="n">
        <x:v>93.6170212765957</x:v>
      </x:c>
      <x:c r="Q11" s="31" t="n">
        <x:v>1.2060342477184562</x:v>
      </x:c>
      <x:c r="R11" s="31" t="n">
        <x:v>1</x:v>
      </x:c>
      <x:c r="S11" s="33" t="n">
        <x:f>IF(OR(G11="",P11=""),"",G11-P11)</x:f>
        <x:v>26.30355978949271</x:v>
      </x:c>
      <x:c r="T11" s="33" t="n">
        <x:f>IF(S11="","",ABS(S11))</x:f>
        <x:v>26.30355978949271</x:v>
      </x:c>
      <x:c r="U11" s="34" t="str">
        <x:f>IF(M11=FALSE,"Not analysed in paper",IF(K11=N11,"Significance agrees",IF(K11=TRUE,"User only","Paper only")))</x:f>
        <x:v>Significance agrees</x:v>
      </x:c>
      <x:c r="V11" s="34" t="str">
        <x:f>IF(M11=FALSE,"Not analysed in paper",IF(L11=FALSE,"User not reliable/significant",IF(N11=FALSE,"Paper not significant",IF(P11="","Exact paper latency unavailable",IF(T11&lt;=10,"Close (&lt;=10 ms)",IF(T11&lt;=20,"Similar (10-20 ms)","Different (&gt;20 ms)"))))))</x:f>
        <x:v>Different (&gt;20 ms)</x:v>
      </x:c>
      <x:c r="W11" s="37" t="b">
        <x:v>0</x:v>
      </x:c>
      <x:c r="X11" s="38"/>
      <x:c r="Y11" s="38"/>
      <x:c r="Z11" s="39"/>
      <x:c r="AA11" s="39" t="str">
        <x:f>IF(W11=FALSE,"Not explicitly reported in PDF",IF(AND(G11&gt;=X11,G11&lt;=Y11),"Within PDF value/range",IF(MIN(ABS(G11-X11),ABS(G11-Y11))&lt;=15,"Within 15 ms of PDF","Different from PDF")))</x:f>
        <x:v>Not explicitly reported in PDF</x:v>
      </x:c>
    </x:row>
    <x:row r="12">
      <x:c r="A12" s="20" t="str">
        <x:v>FL</x:v>
      </x:c>
      <x:c r="B12" s="20" t="str">
        <x:v>Flocculus</x:v>
      </x:c>
      <x:c r="C12" s="20" t="str">
        <x:v>Cerebellum</x:v>
      </x:c>
      <x:c r="D12" s="24" t="n">
        <x:v>4</x:v>
      </x:c>
      <x:c r="E12" s="24" t="n">
        <x:v>39</x:v>
      </x:c>
      <x:c r="F12" s="25" t="n">
        <x:v>2.535273204312241</x:v>
      </x:c>
      <x:c r="G12" s="25" t="n">
        <x:v>14.158815553321803</x:v>
      </x:c>
      <x:c r="H12" s="26" t="n">
        <x:v>0.974025974025974</x:v>
      </x:c>
      <x:c r="I12" s="26" t="n">
        <x:v>0.9814049586776858</x:v>
      </x:c>
      <x:c r="J12" s="27" t="b">
        <x:v>1</x:v>
      </x:c>
      <x:c r="K12" s="27" t="b">
        <x:v>0</x:v>
      </x:c>
      <x:c r="L12" s="24" t="b">
        <x:f>AND(J12,K12)</x:f>
        <x:v>0</x:v>
      </x:c>
      <x:c r="M12" s="29" t="b">
        <x:v>1</x:v>
      </x:c>
      <x:c r="N12" s="30" t="n">
        <x:v>0</x:v>
      </x:c>
      <x:c r="O12" s="31" t="n">
        <x:v>-0.45</x:v>
      </x:c>
      <x:c r="P12" s="31"/>
      <x:c r="Q12" s="31"/>
      <x:c r="R12" s="31"/>
      <x:c r="S12" s="33" t="str">
        <x:f>IF(OR(G12="",P12=""),"",G12-P12)</x:f>
      </x:c>
      <x:c r="T12" s="33" t="str">
        <x:f>IF(S12="","",ABS(S12))</x:f>
      </x:c>
      <x:c r="U12" s="34" t="str">
        <x:f>IF(M12=FALSE,"Not analysed in paper",IF(K12=N12,"Significance agrees",IF(K12=TRUE,"User only","Paper only")))</x:f>
        <x:v>Significance agrees</x:v>
      </x:c>
      <x:c r="V12" s="34" t="str">
        <x:f>IF(M12=FALSE,"Not analysed in paper",IF(L12=FALSE,"User not reliable/significant",IF(N12=FALSE,"Paper not significant",IF(P12="","Exact paper latency unavailable",IF(T12&lt;=10,"Close (&lt;=10 ms)",IF(T12&lt;=20,"Similar (10-20 ms)","Different (&gt;20 ms)"))))))</x:f>
        <x:v>User not reliable/significant</x:v>
      </x:c>
      <x:c r="W12" s="37" t="b">
        <x:v>0</x:v>
      </x:c>
      <x:c r="X12" s="38"/>
      <x:c r="Y12" s="38"/>
      <x:c r="Z12" s="39"/>
      <x:c r="AA12" s="39" t="str">
        <x:f>IF(W12=FALSE,"Not explicitly reported in PDF",IF(AND(G12&gt;=X12,G12&lt;=Y12),"Within PDF value/range",IF(MIN(ABS(G12-X12),ABS(G12-Y12))&lt;=15,"Within 15 ms of PDF","Different from PDF")))</x:f>
        <x:v>Not explicitly reported in PDF</x:v>
      </x:c>
    </x:row>
    <x:row r="13">
      <x:c r="A13" s="20" t="str">
        <x:v>FN</x:v>
      </x:c>
      <x:c r="B13" s="20" t="str">
        <x:v>Fastigial nucleus</x:v>
      </x:c>
      <x:c r="C13" s="20" t="str">
        <x:v>Cerebellum</x:v>
      </x:c>
      <x:c r="D13" s="24" t="n">
        <x:v>5</x:v>
      </x:c>
      <x:c r="E13" s="24" t="n">
        <x:v>46</x:v>
      </x:c>
      <x:c r="F13" s="25" t="n">
        <x:v>17.01632753844283</x:v>
      </x:c>
      <x:c r="G13" s="25" t="n">
        <x:v>114.5418007570904</x:v>
      </x:c>
      <x:c r="H13" s="26" t="n">
        <x:v>0.0009990009990009</x:v>
      </x:c>
      <x:c r="I13" s="26" t="n">
        <x:v>0.0066433566433566</x:v>
      </x:c>
      <x:c r="J13" s="27" t="b">
        <x:v>1</x:v>
      </x:c>
      <x:c r="K13" s="27" t="b">
        <x:v>1</x:v>
      </x:c>
      <x:c r="L13" s="24" t="b">
        <x:f>AND(J13,K13)</x:f>
        <x:v>1</x:v>
      </x:c>
      <x:c r="M13" s="29" t="b">
        <x:v>0</x:v>
      </x:c>
      <x:c r="N13" s="30"/>
      <x:c r="O13" s="31"/>
      <x:c r="P13" s="31"/>
      <x:c r="Q13" s="31"/>
      <x:c r="R13" s="31"/>
      <x:c r="S13" s="33" t="str">
        <x:f>IF(OR(G13="",P13=""),"",G13-P13)</x:f>
      </x:c>
      <x:c r="T13" s="33" t="str">
        <x:f>IF(S13="","",ABS(S13))</x:f>
      </x:c>
      <x:c r="U13" s="34" t="str">
        <x:f>IF(M13=FALSE,"Not analysed in paper",IF(K13=N13,"Significance agrees",IF(K13=TRUE,"User only","Paper only")))</x:f>
        <x:v>Not analysed in paper</x:v>
      </x:c>
      <x:c r="V13" s="34" t="str">
        <x:f>IF(M13=FALSE,"Not analysed in paper",IF(L13=FALSE,"User not reliable/significant",IF(N13=FALSE,"Paper not significant",IF(P13="","Exact paper latency unavailable",IF(T13&lt;=10,"Close (&lt;=10 ms)",IF(T13&lt;=20,"Similar (10-20 ms)","Different (&gt;20 ms)"))))))</x:f>
        <x:v>Not analysed in paper</x:v>
      </x:c>
      <x:c r="W13" s="37" t="b">
        <x:v>0</x:v>
      </x:c>
      <x:c r="X13" s="38"/>
      <x:c r="Y13" s="38"/>
      <x:c r="Z13" s="39"/>
      <x:c r="AA13" s="39" t="str">
        <x:f>IF(W13=FALSE,"Not explicitly reported in PDF",IF(AND(G13&gt;=X13,G13&lt;=Y13),"Within PDF value/range",IF(MIN(ABS(G13-X13),ABS(G13-Y13))&lt;=15,"Within 15 ms of PDF","Different from PDF")))</x:f>
        <x:v>Not explicitly reported in PDF</x:v>
      </x:c>
    </x:row>
    <x:row r="14">
      <x:c r="A14" s="20" t="str">
        <x:v>FOTU</x:v>
      </x:c>
      <x:c r="B14" s="20" t="str">
        <x:v>Folium-tuber vermis (VII)</x:v>
      </x:c>
      <x:c r="C14" s="20" t="str">
        <x:v>Cerebellum</x:v>
      </x:c>
      <x:c r="D14" s="24" t="n">
        <x:v>6</x:v>
      </x:c>
      <x:c r="E14" s="24" t="n">
        <x:v>100</x:v>
      </x:c>
      <x:c r="F14" s="25" t="n">
        <x:v>4.067963994972289</x:v>
      </x:c>
      <x:c r="G14" s="25" t="n">
        <x:v>121.0586029296375</x:v>
      </x:c>
      <x:c r="H14" s="26" t="n">
        <x:v>0.0559440559440559</x:v>
      </x:c>
      <x:c r="I14" s="26" t="n">
        <x:v>0.1261111769586345</x:v>
      </x:c>
      <x:c r="J14" s="27" t="b">
        <x:v>1</x:v>
      </x:c>
      <x:c r="K14" s="27" t="b">
        <x:v>0</x:v>
      </x:c>
      <x:c r="L14" s="24" t="b">
        <x:f>AND(J14,K14)</x:f>
        <x:v>0</x:v>
      </x:c>
      <x:c r="M14" s="29" t="b">
        <x:v>1</x:v>
      </x:c>
      <x:c r="N14" s="30" t="n">
        <x:v>0</x:v>
      </x:c>
      <x:c r="O14" s="31" t="n">
        <x:v>-0.58</x:v>
      </x:c>
      <x:c r="P14" s="31"/>
      <x:c r="Q14" s="31"/>
      <x:c r="R14" s="31"/>
      <x:c r="S14" s="33" t="str">
        <x:f>IF(OR(G14="",P14=""),"",G14-P14)</x:f>
      </x:c>
      <x:c r="T14" s="33" t="str">
        <x:f>IF(S14="","",ABS(S14))</x:f>
      </x:c>
      <x:c r="U14" s="34" t="str">
        <x:f>IF(M14=FALSE,"Not analysed in paper",IF(K14=N14,"Significance agrees",IF(K14=TRUE,"User only","Paper only")))</x:f>
        <x:v>Significance agrees</x:v>
      </x:c>
      <x:c r="V14" s="34" t="str">
        <x:f>IF(M14=FALSE,"Not analysed in paper",IF(L14=FALSE,"User not reliable/significant",IF(N14=FALSE,"Paper not significant",IF(P14="","Exact paper latency unavailable",IF(T14&lt;=10,"Close (&lt;=10 ms)",IF(T14&lt;=20,"Similar (10-20 ms)","Different (&gt;20 ms)"))))))</x:f>
        <x:v>User not reliable/significant</x:v>
      </x:c>
      <x:c r="W14" s="37" t="b">
        <x:v>0</x:v>
      </x:c>
      <x:c r="X14" s="38"/>
      <x:c r="Y14" s="38"/>
      <x:c r="Z14" s="39"/>
      <x:c r="AA14" s="39" t="str">
        <x:f>IF(W14=FALSE,"Not explicitly reported in PDF",IF(AND(G14&gt;=X14,G14&lt;=Y14),"Within PDF value/range",IF(MIN(ABS(G14-X14),ABS(G14-Y14))&lt;=15,"Within 15 ms of PDF","Different from PDF")))</x:f>
        <x:v>Not explicitly reported in PDF</x:v>
      </x:c>
    </x:row>
    <x:row r="15">
      <x:c r="A15" s="20" t="str">
        <x:v>IP</x:v>
      </x:c>
      <x:c r="B15" s="20" t="str">
        <x:v>Interposed nucleus</x:v>
      </x:c>
      <x:c r="C15" s="20" t="str">
        <x:v>Cerebellum</x:v>
      </x:c>
      <x:c r="D15" s="24" t="n">
        <x:v>30</x:v>
      </x:c>
      <x:c r="E15" s="24" t="n">
        <x:v>619</x:v>
      </x:c>
      <x:c r="F15" s="25" t="n">
        <x:v>7.612094543958559</x:v>
      </x:c>
      <x:c r="G15" s="25" t="n">
        <x:v>114.7724267602744</x:v>
      </x:c>
      <x:c r="H15" s="26" t="n">
        <x:v>0.0329670329670329</x:v>
      </x:c>
      <x:c r="I15" s="26" t="n">
        <x:v>0.085972850678733</x:v>
      </x:c>
      <x:c r="J15" s="27" t="b">
        <x:v>1</x:v>
      </x:c>
      <x:c r="K15" s="27" t="b">
        <x:v>0</x:v>
      </x:c>
      <x:c r="L15" s="24" t="b">
        <x:f>AND(J15,K15)</x:f>
        <x:v>0</x:v>
      </x:c>
      <x:c r="M15" s="29" t="b">
        <x:v>1</x:v>
      </x:c>
      <x:c r="N15" s="30" t="n">
        <x:v>1</x:v>
      </x:c>
      <x:c r="O15" s="31" t="n">
        <x:v>-0.32</x:v>
      </x:c>
      <x:c r="P15" s="31" t="n">
        <x:v>89.3617021276595</x:v>
      </x:c>
      <x:c r="Q15" s="31" t="n">
        <x:v>0.2465108992152115</x:v>
      </x:c>
      <x:c r="R15" s="31" t="n">
        <x:v>1</x:v>
      </x:c>
      <x:c r="S15" s="33" t="n">
        <x:f>IF(OR(G15="",P15=""),"",G15-P15)</x:f>
        <x:v>25.4107246326149</x:v>
      </x:c>
      <x:c r="T15" s="33" t="n">
        <x:f>IF(S15="","",ABS(S15))</x:f>
        <x:v>25.4107246326149</x:v>
      </x:c>
      <x:c r="U15" s="34" t="str">
        <x:f>IF(M15=FALSE,"Not analysed in paper",IF(K15=N15,"Significance agrees",IF(K15=TRUE,"User only","Paper only")))</x:f>
        <x:v>Paper only</x:v>
      </x:c>
      <x:c r="V15" s="34" t="str">
        <x:f>IF(M15=FALSE,"Not analysed in paper",IF(L15=FALSE,"User not reliable/significant",IF(N15=FALSE,"Paper not significant",IF(P15="","Exact paper latency unavailable",IF(T15&lt;=10,"Close (&lt;=10 ms)",IF(T15&lt;=20,"Similar (10-20 ms)","Different (&gt;20 ms)"))))))</x:f>
        <x:v>User not reliable/significant</x:v>
      </x:c>
      <x:c r="W15" s="37" t="b">
        <x:v>0</x:v>
      </x:c>
      <x:c r="X15" s="38"/>
      <x:c r="Y15" s="38"/>
      <x:c r="Z15" s="39"/>
      <x:c r="AA15" s="39" t="str">
        <x:f>IF(W15=FALSE,"Not explicitly reported in PDF",IF(AND(G15&gt;=X15,G15&lt;=Y15),"Within PDF value/range",IF(MIN(ABS(G15-X15),ABS(G15-Y15))&lt;=15,"Within 15 ms of PDF","Different from PDF")))</x:f>
        <x:v>Not explicitly reported in PDF</x:v>
      </x:c>
    </x:row>
    <x:row r="16">
      <x:c r="A16" s="20" t="str">
        <x:v>LING</x:v>
      </x:c>
      <x:c r="B16" s="20" t="str">
        <x:v>Lingula (I)</x:v>
      </x:c>
      <x:c r="C16" s="20" t="str">
        <x:v>Cerebellum</x:v>
      </x:c>
      <x:c r="D16" s="24" t="n">
        <x:v>5</x:v>
      </x:c>
      <x:c r="E16" s="24" t="n">
        <x:v>45</x:v>
      </x:c>
      <x:c r="F16" s="25" t="n">
        <x:v>5.2623328738222686</x:v>
      </x:c>
      <x:c r="G16" s="25" t="n">
        <x:v>119.16473686278172</x:v>
      </x:c>
      <x:c r="H16" s="26" t="n">
        <x:v>0.0499500499500499</x:v>
      </x:c>
      <x:c r="I16" s="26" t="n">
        <x:v>0.1155366372757677</x:v>
      </x:c>
      <x:c r="J16" s="27" t="b">
        <x:v>1</x:v>
      </x:c>
      <x:c r="K16" s="27" t="b">
        <x:v>0</x:v>
      </x:c>
      <x:c r="L16" s="24" t="b">
        <x:f>AND(J16,K16)</x:f>
        <x:v>0</x:v>
      </x:c>
      <x:c r="M16" s="29" t="b">
        <x:v>1</x:v>
      </x:c>
      <x:c r="N16" s="30" t="n">
        <x:v>0</x:v>
      </x:c>
      <x:c r="O16" s="31" t="n">
        <x:v>-0.47</x:v>
      </x:c>
      <x:c r="P16" s="31"/>
      <x:c r="Q16" s="31"/>
      <x:c r="R16" s="31"/>
      <x:c r="S16" s="33" t="str">
        <x:f>IF(OR(G16="",P16=""),"",G16-P16)</x:f>
      </x:c>
      <x:c r="T16" s="33" t="str">
        <x:f>IF(S16="","",ABS(S16))</x:f>
      </x:c>
      <x:c r="U16" s="34" t="str">
        <x:f>IF(M16=FALSE,"Not analysed in paper",IF(K16=N16,"Significance agrees",IF(K16=TRUE,"User only","Paper only")))</x:f>
        <x:v>Significance agrees</x:v>
      </x:c>
      <x:c r="V16" s="34" t="str">
        <x:f>IF(M16=FALSE,"Not analysed in paper",IF(L16=FALSE,"User not reliable/significant",IF(N16=FALSE,"Paper not significant",IF(P16="","Exact paper latency unavailable",IF(T16&lt;=10,"Close (&lt;=10 ms)",IF(T16&lt;=20,"Similar (10-20 ms)","Different (&gt;20 ms)"))))))</x:f>
        <x:v>User not reliable/significant</x:v>
      </x:c>
      <x:c r="W16" s="37" t="b">
        <x:v>0</x:v>
      </x:c>
      <x:c r="X16" s="38"/>
      <x:c r="Y16" s="38"/>
      <x:c r="Z16" s="39"/>
      <x:c r="AA16" s="39" t="str">
        <x:f>IF(W16=FALSE,"Not explicitly reported in PDF",IF(AND(G16&gt;=X16,G16&lt;=Y16),"Within PDF value/range",IF(MIN(ABS(G16-X16),ABS(G16-Y16))&lt;=15,"Within 15 ms of PDF","Different from PDF")))</x:f>
        <x:v>Not explicitly reported in PDF</x:v>
      </x:c>
    </x:row>
    <x:row r="17">
      <x:c r="A17" s="20" t="str">
        <x:v>NOD</x:v>
      </x:c>
      <x:c r="B17" s="20" t="str">
        <x:v>Nodulus (X)</x:v>
      </x:c>
      <x:c r="C17" s="20" t="str">
        <x:v>Cerebellum</x:v>
      </x:c>
      <x:c r="D17" s="24" t="n">
        <x:v>9</x:v>
      </x:c>
      <x:c r="E17" s="24" t="n">
        <x:v>165</x:v>
      </x:c>
      <x:c r="F17" s="25" t="n">
        <x:v>6.810615289631965</x:v>
      </x:c>
      <x:c r="G17" s="25" t="n">
        <x:v>109.62419148691392</x:v>
      </x:c>
      <x:c r="H17" s="26" t="n">
        <x:v>0.0019980019980019</x:v>
      </x:c>
      <x:c r="I17" s="26" t="n">
        <x:v>0.0120788302606484</x:v>
      </x:c>
      <x:c r="J17" s="27" t="b">
        <x:v>1</x:v>
      </x:c>
      <x:c r="K17" s="27" t="b">
        <x:v>0</x:v>
      </x:c>
      <x:c r="L17" s="24" t="b">
        <x:f>AND(J17,K17)</x:f>
        <x:v>0</x:v>
      </x:c>
      <x:c r="M17" s="29" t="b">
        <x:v>1</x:v>
      </x:c>
      <x:c r="N17" s="30" t="n">
        <x:v>1</x:v>
      </x:c>
      <x:c r="O17" s="31" t="n">
        <x:v>-0.27</x:v>
      </x:c>
      <x:c r="P17" s="31" t="n">
        <x:v>44.6808510638297</x:v>
      </x:c>
      <x:c r="Q17" s="31" t="n">
        <x:v>0.1429991013098768</x:v>
      </x:c>
      <x:c r="R17" s="31" t="n">
        <x:v>1</x:v>
      </x:c>
      <x:c r="S17" s="33" t="n">
        <x:f>IF(OR(G17="",P17=""),"",G17-P17)</x:f>
        <x:v>64.94334042308421</x:v>
      </x:c>
      <x:c r="T17" s="33" t="n">
        <x:f>IF(S17="","",ABS(S17))</x:f>
        <x:v>64.94334042308421</x:v>
      </x:c>
      <x:c r="U17" s="34" t="str">
        <x:f>IF(M17=FALSE,"Not analysed in paper",IF(K17=N17,"Significance agrees",IF(K17=TRUE,"User only","Paper only")))</x:f>
        <x:v>Paper only</x:v>
      </x:c>
      <x:c r="V17" s="34" t="str">
        <x:f>IF(M17=FALSE,"Not analysed in paper",IF(L17=FALSE,"User not reliable/significant",IF(N17=FALSE,"Paper not significant",IF(P17="","Exact paper latency unavailable",IF(T17&lt;=10,"Close (&lt;=10 ms)",IF(T17&lt;=20,"Similar (10-20 ms)","Different (&gt;20 ms)"))))))</x:f>
        <x:v>User not reliable/significant</x:v>
      </x:c>
      <x:c r="W17" s="37" t="b">
        <x:v>0</x:v>
      </x:c>
      <x:c r="X17" s="38"/>
      <x:c r="Y17" s="38"/>
      <x:c r="Z17" s="39"/>
      <x:c r="AA17" s="39" t="str">
        <x:f>IF(W17=FALSE,"Not explicitly reported in PDF",IF(AND(G17&gt;=X17,G17&lt;=Y17),"Within PDF value/range",IF(MIN(ABS(G17-X17),ABS(G17-Y17))&lt;=15,"Within 15 ms of PDF","Different from PDF")))</x:f>
        <x:v>Not explicitly reported in PDF</x:v>
      </x:c>
    </x:row>
    <x:row r="18">
      <x:c r="A18" s="20" t="str">
        <x:v>PFL</x:v>
      </x:c>
      <x:c r="B18" s="20" t="str">
        <x:v>Paraflocculus</x:v>
      </x:c>
      <x:c r="C18" s="20" t="str">
        <x:v>Cerebellum</x:v>
      </x:c>
      <x:c r="D18" s="24" t="n">
        <x:v>6</x:v>
      </x:c>
      <x:c r="E18" s="24" t="n">
        <x:v>133</x:v>
      </x:c>
      <x:c r="F18" s="25" t="n">
        <x:v>3.0463038287375706</x:v>
      </x:c>
      <x:c r="G18" s="25" t="n">
        <x:v>113.45298574911344</x:v>
      </x:c>
      <x:c r="H18" s="26" t="n">
        <x:v>0.5314685314685315</x:v>
      </x:c>
      <x:c r="I18" s="26" t="n">
        <x:v>0.6725217910052034</x:v>
      </x:c>
      <x:c r="J18" s="27" t="b">
        <x:v>1</x:v>
      </x:c>
      <x:c r="K18" s="27" t="b">
        <x:v>0</x:v>
      </x:c>
      <x:c r="L18" s="24" t="b">
        <x:f>AND(J18,K18)</x:f>
        <x:v>0</x:v>
      </x:c>
      <x:c r="M18" s="29" t="b">
        <x:v>1</x:v>
      </x:c>
      <x:c r="N18" s="30" t="n">
        <x:v>0</x:v>
      </x:c>
      <x:c r="O18" s="31" t="n">
        <x:v>-0.56</x:v>
      </x:c>
      <x:c r="P18" s="31"/>
      <x:c r="Q18" s="31"/>
      <x:c r="R18" s="31"/>
      <x:c r="S18" s="33" t="str">
        <x:f>IF(OR(G18="",P18=""),"",G18-P18)</x:f>
      </x:c>
      <x:c r="T18" s="33" t="str">
        <x:f>IF(S18="","",ABS(S18))</x:f>
      </x:c>
      <x:c r="U18" s="34" t="str">
        <x:f>IF(M18=FALSE,"Not analysed in paper",IF(K18=N18,"Significance agrees",IF(K18=TRUE,"User only","Paper only")))</x:f>
        <x:v>Significance agrees</x:v>
      </x:c>
      <x:c r="V18" s="34" t="str">
        <x:f>IF(M18=FALSE,"Not analysed in paper",IF(L18=FALSE,"User not reliable/significant",IF(N18=FALSE,"Paper not significant",IF(P18="","Exact paper latency unavailable",IF(T18&lt;=10,"Close (&lt;=10 ms)",IF(T18&lt;=20,"Similar (10-20 ms)","Different (&gt;20 ms)"))))))</x:f>
        <x:v>User not reliable/significant</x:v>
      </x:c>
      <x:c r="W18" s="37" t="b">
        <x:v>0</x:v>
      </x:c>
      <x:c r="X18" s="38"/>
      <x:c r="Y18" s="38"/>
      <x:c r="Z18" s="39"/>
      <x:c r="AA18" s="39" t="str">
        <x:f>IF(W18=FALSE,"Not explicitly reported in PDF",IF(AND(G18&gt;=X18,G18&lt;=Y18),"Within PDF value/range",IF(MIN(ABS(G18-X18),ABS(G18-Y18))&lt;=15,"Within 15 ms of PDF","Different from PDF")))</x:f>
        <x:v>Not explicitly reported in PDF</x:v>
      </x:c>
    </x:row>
    <x:row r="19">
      <x:c r="A19" s="20" t="str">
        <x:v>PRM</x:v>
      </x:c>
      <x:c r="B19" s="20" t="str">
        <x:v>Paramedian lobule</x:v>
      </x:c>
      <x:c r="C19" s="20" t="str">
        <x:v>Cerebellum</x:v>
      </x:c>
      <x:c r="D19" s="24" t="n">
        <x:v>18</x:v>
      </x:c>
      <x:c r="E19" s="24" t="n">
        <x:v>382</x:v>
      </x:c>
      <x:c r="F19" s="25" t="n">
        <x:v>8.44012896638214</x:v>
      </x:c>
      <x:c r="G19" s="25" t="n">
        <x:v>110.69516081967468</x:v>
      </x:c>
      <x:c r="H19" s="26" t="n">
        <x:v>0.0319680319680319</x:v>
      </x:c>
      <x:c r="I19" s="26" t="n">
        <x:v>0.085034965034965</x:v>
      </x:c>
      <x:c r="J19" s="27" t="b">
        <x:v>1</x:v>
      </x:c>
      <x:c r="K19" s="27" t="b">
        <x:v>0</x:v>
      </x:c>
      <x:c r="L19" s="24" t="b">
        <x:f>AND(J19,K19)</x:f>
        <x:v>0</x:v>
      </x:c>
      <x:c r="M19" s="29" t="b">
        <x:v>1</x:v>
      </x:c>
      <x:c r="N19" s="30" t="n">
        <x:v>1</x:v>
      </x:c>
      <x:c r="O19" s="31" t="n">
        <x:v>-0.19</x:v>
      </x:c>
      <x:c r="P19" s="31" t="n">
        <x:v>97.8723404255319</x:v>
      </x:c>
      <x:c r="Q19" s="31" t="n">
        <x:v>0.2875800332531951</x:v>
      </x:c>
      <x:c r="R19" s="31" t="n">
        <x:v>1</x:v>
      </x:c>
      <x:c r="S19" s="33" t="n">
        <x:f>IF(OR(G19="",P19=""),"",G19-P19)</x:f>
        <x:v>12.82282039414278</x:v>
      </x:c>
      <x:c r="T19" s="33" t="n">
        <x:f>IF(S19="","",ABS(S19))</x:f>
        <x:v>12.82282039414278</x:v>
      </x:c>
      <x:c r="U19" s="34" t="str">
        <x:f>IF(M19=FALSE,"Not analysed in paper",IF(K19=N19,"Significance agrees",IF(K19=TRUE,"User only","Paper only")))</x:f>
        <x:v>Paper only</x:v>
      </x:c>
      <x:c r="V19" s="34" t="str">
        <x:f>IF(M19=FALSE,"Not analysed in paper",IF(L19=FALSE,"User not reliable/significant",IF(N19=FALSE,"Paper not significant",IF(P19="","Exact paper latency unavailable",IF(T19&lt;=10,"Close (&lt;=10 ms)",IF(T19&lt;=20,"Similar (10-20 ms)","Different (&gt;20 ms)"))))))</x:f>
        <x:v>User not reliable/significant</x:v>
      </x:c>
      <x:c r="W19" s="37" t="b">
        <x:v>0</x:v>
      </x:c>
      <x:c r="X19" s="38"/>
      <x:c r="Y19" s="38"/>
      <x:c r="Z19" s="39"/>
      <x:c r="AA19" s="39" t="str">
        <x:f>IF(W19=FALSE,"Not explicitly reported in PDF",IF(AND(G19&gt;=X19,G19&lt;=Y19),"Within PDF value/range",IF(MIN(ABS(G19-X19),ABS(G19-Y19))&lt;=15,"Within 15 ms of PDF","Different from PDF")))</x:f>
        <x:v>Not explicitly reported in PDF</x:v>
      </x:c>
    </x:row>
    <x:row r="20">
      <x:c r="A20" s="20" t="str">
        <x:v>PYR</x:v>
      </x:c>
      <x:c r="B20" s="20" t="str">
        <x:v>Pyramus (VIII)</x:v>
      </x:c>
      <x:c r="C20" s="20" t="str">
        <x:v>Cerebellum</x:v>
      </x:c>
      <x:c r="D20" s="24" t="n">
        <x:v>7</x:v>
      </x:c>
      <x:c r="E20" s="24" t="n">
        <x:v>207</x:v>
      </x:c>
      <x:c r="F20" s="25" t="n">
        <x:v>3.126761037669586</x:v>
      </x:c>
      <x:c r="G20" s="25" t="n">
        <x:v>127.05983706592076</x:v>
      </x:c>
      <x:c r="H20" s="26" t="n">
        <x:v>0.0209790209790209</x:v>
      </x:c>
      <x:c r="I20" s="26" t="n">
        <x:v>0.06270134360022</x:v>
      </x:c>
      <x:c r="J20" s="27" t="b">
        <x:v>1</x:v>
      </x:c>
      <x:c r="K20" s="27" t="b">
        <x:v>0</x:v>
      </x:c>
      <x:c r="L20" s="24" t="b">
        <x:f>AND(J20,K20)</x:f>
        <x:v>0</x:v>
      </x:c>
      <x:c r="M20" s="29" t="b">
        <x:v>1</x:v>
      </x:c>
      <x:c r="N20" s="30" t="n">
        <x:v>0</x:v>
      </x:c>
      <x:c r="O20" s="31" t="n">
        <x:v>-0.87</x:v>
      </x:c>
      <x:c r="P20" s="31" t="n">
        <x:v>6.3829787234042</x:v>
      </x:c>
      <x:c r="Q20" s="31" t="n">
        <x:v>0.5010170633883736</x:v>
      </x:c>
      <x:c r="R20" s="31" t="n">
        <x:v>1</x:v>
      </x:c>
      <x:c r="S20" s="33" t="n">
        <x:f>IF(OR(G20="",P20=""),"",G20-P20)</x:f>
        <x:v>120.67685834251657</x:v>
      </x:c>
      <x:c r="T20" s="33" t="n">
        <x:f>IF(S20="","",ABS(S20))</x:f>
        <x:v>120.67685834251657</x:v>
      </x:c>
      <x:c r="U20" s="34" t="str">
        <x:f>IF(M20=FALSE,"Not analysed in paper",IF(K20=N20,"Significance agrees",IF(K20=TRUE,"User only","Paper only")))</x:f>
        <x:v>Significance agrees</x:v>
      </x:c>
      <x:c r="V20" s="34" t="str">
        <x:f>IF(M20=FALSE,"Not analysed in paper",IF(L20=FALSE,"User not reliable/significant",IF(N20=FALSE,"Paper not significant",IF(P20="","Exact paper latency unavailable",IF(T20&lt;=10,"Close (&lt;=10 ms)",IF(T20&lt;=20,"Similar (10-20 ms)","Different (&gt;20 ms)"))))))</x:f>
        <x:v>User not reliable/significant</x:v>
      </x:c>
      <x:c r="W20" s="37" t="b">
        <x:v>0</x:v>
      </x:c>
      <x:c r="X20" s="38"/>
      <x:c r="Y20" s="38"/>
      <x:c r="Z20" s="39"/>
      <x:c r="AA20" s="39" t="str">
        <x:f>IF(W20=FALSE,"Not explicitly reported in PDF",IF(AND(G20&gt;=X20,G20&lt;=Y20),"Within PDF value/range",IF(MIN(ABS(G20-X20),ABS(G20-Y20))&lt;=15,"Within 15 ms of PDF","Different from PDF")))</x:f>
        <x:v>Not explicitly reported in PDF</x:v>
      </x:c>
    </x:row>
    <x:row r="21">
      <x:c r="A21" s="20" t="str">
        <x:v>SIM</x:v>
      </x:c>
      <x:c r="B21" s="20" t="str">
        <x:v>Simple lobule</x:v>
      </x:c>
      <x:c r="C21" s="20" t="str">
        <x:v>Cerebellum</x:v>
      </x:c>
      <x:c r="D21" s="24" t="n">
        <x:v>21</x:v>
      </x:c>
      <x:c r="E21" s="24" t="n">
        <x:v>893</x:v>
      </x:c>
      <x:c r="F21" s="25" t="n">
        <x:v>4.902395129838486</x:v>
      </x:c>
      <x:c r="G21" s="25" t="n">
        <x:v>118.60456594959854</x:v>
      </x:c>
      <x:c r="H21" s="26" t="n">
        <x:v>0.0099900099900099</x:v>
      </x:c>
      <x:c r="I21" s="26" t="n">
        <x:v>0.0385122124252559</x:v>
      </x:c>
      <x:c r="J21" s="27" t="b">
        <x:v>1</x:v>
      </x:c>
      <x:c r="K21" s="27" t="b">
        <x:v>0</x:v>
      </x:c>
      <x:c r="L21" s="24" t="b">
        <x:f>AND(J21,K21)</x:f>
        <x:v>0</x:v>
      </x:c>
      <x:c r="M21" s="29" t="b">
        <x:v>1</x:v>
      </x:c>
      <x:c r="N21" s="30" t="n">
        <x:v>1</x:v>
      </x:c>
      <x:c r="O21" s="31" t="n">
        <x:v>-0.54</x:v>
      </x:c>
      <x:c r="P21" s="31" t="n">
        <x:v>89.3617021276595</x:v>
      </x:c>
      <x:c r="Q21" s="31" t="n">
        <x:v>0.2277548842955774</x:v>
      </x:c>
      <x:c r="R21" s="31" t="n">
        <x:v>1</x:v>
      </x:c>
      <x:c r="S21" s="33" t="n">
        <x:f>IF(OR(G21="",P21=""),"",G21-P21)</x:f>
        <x:v>29.24286382193904</x:v>
      </x:c>
      <x:c r="T21" s="33" t="n">
        <x:f>IF(S21="","",ABS(S21))</x:f>
        <x:v>29.24286382193904</x:v>
      </x:c>
      <x:c r="U21" s="34" t="str">
        <x:f>IF(M21=FALSE,"Not analysed in paper",IF(K21=N21,"Significance agrees",IF(K21=TRUE,"User only","Paper only")))</x:f>
        <x:v>Paper only</x:v>
      </x:c>
      <x:c r="V21" s="34" t="str">
        <x:f>IF(M21=FALSE,"Not analysed in paper",IF(L21=FALSE,"User not reliable/significant",IF(N21=FALSE,"Paper not significant",IF(P21="","Exact paper latency unavailable",IF(T21&lt;=10,"Close (&lt;=10 ms)",IF(T21&lt;=20,"Similar (10-20 ms)","Different (&gt;20 ms)"))))))</x:f>
        <x:v>User not reliable/significant</x:v>
      </x:c>
      <x:c r="W21" s="37" t="b">
        <x:v>0</x:v>
      </x:c>
      <x:c r="X21" s="38"/>
      <x:c r="Y21" s="38"/>
      <x:c r="Z21" s="39"/>
      <x:c r="AA21" s="39" t="str">
        <x:f>IF(W21=FALSE,"Not explicitly reported in PDF",IF(AND(G21&gt;=X21,G21&lt;=Y21),"Within PDF value/range",IF(MIN(ABS(G21-X21),ABS(G21-Y21))&lt;=15,"Within 15 ms of PDF","Different from PDF")))</x:f>
        <x:v>Not explicitly reported in PDF</x:v>
      </x:c>
    </x:row>
    <x:row r="22">
      <x:c r="A22" s="20" t="str">
        <x:v>UVU</x:v>
      </x:c>
      <x:c r="B22" s="20" t="str">
        <x:v>Uvula (IX)</x:v>
      </x:c>
      <x:c r="C22" s="20" t="str">
        <x:v>Cerebellum</x:v>
      </x:c>
      <x:c r="D22" s="24" t="n">
        <x:v>9</x:v>
      </x:c>
      <x:c r="E22" s="24" t="n">
        <x:v>245</x:v>
      </x:c>
      <x:c r="F22" s="25" t="n">
        <x:v>3.251721170799198</x:v>
      </x:c>
      <x:c r="G22" s="25" t="n">
        <x:v>118.7810816241293</x:v>
      </x:c>
      <x:c r="H22" s="26" t="n">
        <x:v>0.0329670329670329</x:v>
      </x:c>
      <x:c r="I22" s="26" t="n">
        <x:v>0.085972850678733</x:v>
      </x:c>
      <x:c r="J22" s="27" t="b">
        <x:v>1</x:v>
      </x:c>
      <x:c r="K22" s="27" t="b">
        <x:v>0</x:v>
      </x:c>
      <x:c r="L22" s="24" t="b">
        <x:f>AND(J22,K22)</x:f>
        <x:v>0</x:v>
      </x:c>
      <x:c r="M22" s="29" t="b">
        <x:v>1</x:v>
      </x:c>
      <x:c r="N22" s="30" t="n">
        <x:v>0</x:v>
      </x:c>
      <x:c r="O22" s="31" t="n">
        <x:v>-0.62</x:v>
      </x:c>
      <x:c r="P22" s="31" t="n">
        <x:v>4.2553191489361</x:v>
      </x:c>
      <x:c r="Q22" s="31" t="n">
        <x:v>0.2595301480279222</x:v>
      </x:c>
      <x:c r="R22" s="31" t="n">
        <x:v>0</x:v>
      </x:c>
      <x:c r="S22" s="33" t="n">
        <x:f>IF(OR(G22="",P22=""),"",G22-P22)</x:f>
        <x:v>114.5257624751932</x:v>
      </x:c>
      <x:c r="T22" s="33" t="n">
        <x:f>IF(S22="","",ABS(S22))</x:f>
        <x:v>114.5257624751932</x:v>
      </x:c>
      <x:c r="U22" s="34" t="str">
        <x:f>IF(M22=FALSE,"Not analysed in paper",IF(K22=N22,"Significance agrees",IF(K22=TRUE,"User only","Paper only")))</x:f>
        <x:v>Significance agrees</x:v>
      </x:c>
      <x:c r="V22" s="34" t="str">
        <x:f>IF(M22=FALSE,"Not analysed in paper",IF(L22=FALSE,"User not reliable/significant",IF(N22=FALSE,"Paper not significant",IF(P22="","Exact paper latency unavailable",IF(T22&lt;=10,"Close (&lt;=10 ms)",IF(T22&lt;=20,"Similar (10-20 ms)","Different (&gt;20 ms)"))))))</x:f>
        <x:v>User not reliable/significant</x:v>
      </x:c>
      <x:c r="W22" s="37" t="b">
        <x:v>0</x:v>
      </x:c>
      <x:c r="X22" s="38"/>
      <x:c r="Y22" s="38"/>
      <x:c r="Z22" s="39"/>
      <x:c r="AA22" s="39" t="str">
        <x:f>IF(W22=FALSE,"Not explicitly reported in PDF",IF(AND(G22&gt;=X22,G22&lt;=Y22),"Within PDF value/range",IF(MIN(ABS(G22-X22),ABS(G22-Y22))&lt;=15,"Within 15 ms of PDF","Different from PDF")))</x:f>
        <x:v>Not explicitly reported in PDF</x:v>
      </x:c>
    </x:row>
    <x:row r="23">
      <x:c r="A23" s="20" t="str">
        <x:v>VeCB</x:v>
      </x:c>
      <x:c r="B23" s="20" t="str">
        <x:v>Vestibulocerebellar nucleus</x:v>
      </x:c>
      <x:c r="C23" s="20" t="str">
        <x:v>Cerebellum</x:v>
      </x:c>
      <x:c r="D23" s="24" t="n">
        <x:v>6</x:v>
      </x:c>
      <x:c r="E23" s="24" t="n">
        <x:v>70</x:v>
      </x:c>
      <x:c r="F23" s="25" t="n">
        <x:v>16.77708566534102</x:v>
      </x:c>
      <x:c r="G23" s="25" t="n">
        <x:v>116.72638959672584</x:v>
      </x:c>
      <x:c r="H23" s="26" t="n">
        <x:v>0.0009990009990009</x:v>
      </x:c>
      <x:c r="I23" s="26" t="n">
        <x:v>0.0066433566433566</x:v>
      </x:c>
      <x:c r="J23" s="27" t="b">
        <x:v>1</x:v>
      </x:c>
      <x:c r="K23" s="27" t="b">
        <x:v>1</x:v>
      </x:c>
      <x:c r="L23" s="24" t="b">
        <x:f>AND(J23,K23)</x:f>
        <x:v>1</x:v>
      </x:c>
      <x:c r="M23" s="29" t="b">
        <x:v>1</x:v>
      </x:c>
      <x:c r="N23" s="30" t="n">
        <x:v>1</x:v>
      </x:c>
      <x:c r="O23" s="31" t="n">
        <x:v>-0.03</x:v>
      </x:c>
      <x:c r="P23" s="31"/>
      <x:c r="Q23" s="31"/>
      <x:c r="R23" s="31"/>
      <x:c r="S23" s="33" t="str">
        <x:f>IF(OR(G23="",P23=""),"",G23-P23)</x:f>
      </x:c>
      <x:c r="T23" s="33" t="str">
        <x:f>IF(S23="","",ABS(S23))</x:f>
      </x:c>
      <x:c r="U23" s="34" t="str">
        <x:f>IF(M23=FALSE,"Not analysed in paper",IF(K23=N23,"Significance agrees",IF(K23=TRUE,"User only","Paper only")))</x:f>
        <x:v>Significance agrees</x:v>
      </x:c>
      <x:c r="V23" s="34" t="str">
        <x:f>IF(M23=FALSE,"Not analysed in paper",IF(L23=FALSE,"User not reliable/significant",IF(N23=FALSE,"Paper not significant",IF(P23="","Exact paper latency unavailable",IF(T23&lt;=10,"Close (&lt;=10 ms)",IF(T23&lt;=20,"Similar (10-20 ms)","Different (&gt;20 ms)"))))))</x:f>
        <x:v>Exact paper latency unavailable</x:v>
      </x:c>
      <x:c r="W23" s="37" t="b">
        <x:v>0</x:v>
      </x:c>
      <x:c r="X23" s="38"/>
      <x:c r="Y23" s="38"/>
      <x:c r="Z23" s="39"/>
      <x:c r="AA23" s="39" t="str">
        <x:f>IF(W23=FALSE,"Not explicitly reported in PDF",IF(AND(G23&gt;=X23,G23&lt;=Y23),"Within PDF value/range",IF(MIN(ABS(G23-X23),ABS(G23-Y23))&lt;=15,"Within 15 ms of PDF","Different from PDF")))</x:f>
        <x:v>Not explicitly reported in PDF</x:v>
      </x:c>
    </x:row>
    <x:row r="24">
      <x:c r="A24" s="20" t="str">
        <x:v>AAA</x:v>
      </x:c>
      <x:c r="B24" s="20" t="str">
        <x:v>Anterior amygdalar area</x:v>
      </x:c>
      <x:c r="C24" s="20" t="str">
        <x:v>Cerebral nuclei</x:v>
      </x:c>
      <x:c r="D24" s="24" t="n">
        <x:v>3</x:v>
      </x:c>
      <x:c r="E24" s="24" t="n">
        <x:v>25</x:v>
      </x:c>
      <x:c r="F24" s="25" t="n">
        <x:v>6.629229854858867</x:v>
      </x:c>
      <x:c r="G24" s="25" t="n">
        <x:v>134.62443962625238</x:v>
      </x:c>
      <x:c r="H24" s="26" t="n">
        <x:v>0.0009990009990009</x:v>
      </x:c>
      <x:c r="I24" s="26" t="n">
        <x:v>0.0066433566433566</x:v>
      </x:c>
      <x:c r="J24" s="27" t="b">
        <x:v>1</x:v>
      </x:c>
      <x:c r="K24" s="27" t="b">
        <x:v>1</x:v>
      </x:c>
      <x:c r="L24" s="24" t="b">
        <x:f>AND(J24,K24)</x:f>
        <x:v>1</x:v>
      </x:c>
      <x:c r="M24" s="29" t="b">
        <x:v>1</x:v>
      </x:c>
      <x:c r="N24" s="30" t="n">
        <x:v>0</x:v>
      </x:c>
      <x:c r="O24" s="31" t="n">
        <x:v>-0.5</x:v>
      </x:c>
      <x:c r="P24" s="31"/>
      <x:c r="Q24" s="31"/>
      <x:c r="R24" s="31"/>
      <x:c r="S24" s="33" t="str">
        <x:f>IF(OR(G24="",P24=""),"",G24-P24)</x:f>
      </x:c>
      <x:c r="T24" s="33" t="str">
        <x:f>IF(S24="","",ABS(S24))</x:f>
      </x:c>
      <x:c r="U24" s="34" t="str">
        <x:f>IF(M24=FALSE,"Not analysed in paper",IF(K24=N24,"Significance agrees",IF(K24=TRUE,"User only","Paper only")))</x:f>
        <x:v>User only</x:v>
      </x:c>
      <x:c r="V24" s="34" t="str">
        <x:f>IF(M24=FALSE,"Not analysed in paper",IF(L24=FALSE,"User not reliable/significant",IF(N24=FALSE,"Paper not significant",IF(P24="","Exact paper latency unavailable",IF(T24&lt;=10,"Close (&lt;=10 ms)",IF(T24&lt;=20,"Similar (10-20 ms)","Different (&gt;20 ms)"))))))</x:f>
        <x:v>Paper not significant</x:v>
      </x:c>
      <x:c r="W24" s="37" t="b">
        <x:v>0</x:v>
      </x:c>
      <x:c r="X24" s="38"/>
      <x:c r="Y24" s="38"/>
      <x:c r="Z24" s="39"/>
      <x:c r="AA24" s="39" t="str">
        <x:f>IF(W24=FALSE,"Not explicitly reported in PDF",IF(AND(G24&gt;=X24,G24&lt;=Y24),"Within PDF value/range",IF(MIN(ABS(G24-X24),ABS(G24-Y24))&lt;=15,"Within 15 ms of PDF","Different from PDF")))</x:f>
        <x:v>Not explicitly reported in PDF</x:v>
      </x:c>
    </x:row>
    <x:row r="25">
      <x:c r="A25" s="20" t="str">
        <x:v>ACB</x:v>
      </x:c>
      <x:c r="B25" s="20" t="str">
        <x:v>Nucleus accumbens</x:v>
      </x:c>
      <x:c r="C25" s="20" t="str">
        <x:v>Cerebral nuclei</x:v>
      </x:c>
      <x:c r="D25" s="24" t="n">
        <x:v>23</x:v>
      </x:c>
      <x:c r="E25" s="24" t="n">
        <x:v>340</x:v>
      </x:c>
      <x:c r="F25" s="25" t="n">
        <x:v>1.4027840044318052</x:v>
      </x:c>
      <x:c r="G25" s="25" t="n">
        <x:v>127.48596062993938</x:v>
      </x:c>
      <x:c r="H25" s="26" t="n">
        <x:v>0.4215784215784215</x:v>
      </x:c>
      <x:c r="I25" s="26" t="n">
        <x:v>0.5663629299992936</x:v>
      </x:c>
      <x:c r="J25" s="27" t="b">
        <x:v>1</x:v>
      </x:c>
      <x:c r="K25" s="27" t="b">
        <x:v>0</x:v>
      </x:c>
      <x:c r="L25" s="24" t="b">
        <x:f>AND(J25,K25)</x:f>
        <x:v>0</x:v>
      </x:c>
      <x:c r="M25" s="29" t="b">
        <x:v>1</x:v>
      </x:c>
      <x:c r="N25" s="30" t="n">
        <x:v>0</x:v>
      </x:c>
      <x:c r="O25" s="31" t="n">
        <x:v>-0.91</x:v>
      </x:c>
      <x:c r="P25" s="31" t="n">
        <x:v>85.1063829787234</x:v>
      </x:c>
      <x:c r="Q25" s="31" t="n">
        <x:v>0.1227089703744309</x:v>
      </x:c>
      <x:c r="R25" s="31" t="n">
        <x:v>1</x:v>
      </x:c>
      <x:c r="S25" s="33" t="n">
        <x:f>IF(OR(G25="",P25=""),"",G25-P25)</x:f>
        <x:v>42.37957765121598</x:v>
      </x:c>
      <x:c r="T25" s="33" t="n">
        <x:f>IF(S25="","",ABS(S25))</x:f>
        <x:v>42.37957765121598</x:v>
      </x:c>
      <x:c r="U25" s="34" t="str">
        <x:f>IF(M25=FALSE,"Not analysed in paper",IF(K25=N25,"Significance agrees",IF(K25=TRUE,"User only","Paper only")))</x:f>
        <x:v>Significance agrees</x:v>
      </x:c>
      <x:c r="V25" s="34" t="str">
        <x:f>IF(M25=FALSE,"Not analysed in paper",IF(L25=FALSE,"User not reliable/significant",IF(N25=FALSE,"Paper not significant",IF(P25="","Exact paper latency unavailable",IF(T25&lt;=10,"Close (&lt;=10 ms)",IF(T25&lt;=20,"Similar (10-20 ms)","Different (&gt;20 ms)"))))))</x:f>
        <x:v>User not reliable/significant</x:v>
      </x:c>
      <x:c r="W25" s="37" t="b">
        <x:v>0</x:v>
      </x:c>
      <x:c r="X25" s="38"/>
      <x:c r="Y25" s="38"/>
      <x:c r="Z25" s="39"/>
      <x:c r="AA25" s="39" t="str">
        <x:f>IF(W25=FALSE,"Not explicitly reported in PDF",IF(AND(G25&gt;=X25,G25&lt;=Y25),"Within PDF value/range",IF(MIN(ABS(G25-X25),ABS(G25-Y25))&lt;=15,"Within 15 ms of PDF","Different from PDF")))</x:f>
        <x:v>Not explicitly reported in PDF</x:v>
      </x:c>
    </x:row>
    <x:row r="26">
      <x:c r="A26" s="20" t="str">
        <x:v>BST</x:v>
      </x:c>
      <x:c r="B26" s="20" t="str">
        <x:v>Bed nuclei of the stria terminalis</x:v>
      </x:c>
      <x:c r="C26" s="20" t="str">
        <x:v>Cerebral nuclei</x:v>
      </x:c>
      <x:c r="D26" s="24" t="n">
        <x:v>15</x:v>
      </x:c>
      <x:c r="E26" s="24" t="n">
        <x:v>207</x:v>
      </x:c>
      <x:c r="F26" s="25" t="n">
        <x:v>2.240856909101614</x:v>
      </x:c>
      <x:c r="G26" s="25" t="n">
        <x:v>130.50175969989257</x:v>
      </x:c>
      <x:c r="H26" s="26" t="n">
        <x:v>0.0349650349650349</x:v>
      </x:c>
      <x:c r="I26" s="26" t="n">
        <x:v>0.0894298009682625</x:v>
      </x:c>
      <x:c r="J26" s="27" t="b">
        <x:v>1</x:v>
      </x:c>
      <x:c r="K26" s="27" t="b">
        <x:v>0</x:v>
      </x:c>
      <x:c r="L26" s="24" t="b">
        <x:f>AND(J26,K26)</x:f>
        <x:v>0</x:v>
      </x:c>
      <x:c r="M26" s="29" t="b">
        <x:v>1</x:v>
      </x:c>
      <x:c r="N26" s="30" t="n">
        <x:v>0</x:v>
      </x:c>
      <x:c r="O26" s="31" t="n">
        <x:v>-1.07</x:v>
      </x:c>
      <x:c r="P26" s="31" t="n">
        <x:v>4.2553191489361</x:v>
      </x:c>
      <x:c r="Q26" s="31" t="n">
        <x:v>0.1374428011104928</x:v>
      </x:c>
      <x:c r="R26" s="31" t="n">
        <x:v>1</x:v>
      </x:c>
      <x:c r="S26" s="33" t="n">
        <x:f>IF(OR(G26="",P26=""),"",G26-P26)</x:f>
        <x:v>126.24644055095648</x:v>
      </x:c>
      <x:c r="T26" s="33" t="n">
        <x:f>IF(S26="","",ABS(S26))</x:f>
        <x:v>126.24644055095648</x:v>
      </x:c>
      <x:c r="U26" s="34" t="str">
        <x:f>IF(M26=FALSE,"Not analysed in paper",IF(K26=N26,"Significance agrees",IF(K26=TRUE,"User only","Paper only")))</x:f>
        <x:v>Significance agrees</x:v>
      </x:c>
      <x:c r="V26" s="34" t="str">
        <x:f>IF(M26=FALSE,"Not analysed in paper",IF(L26=FALSE,"User not reliable/significant",IF(N26=FALSE,"Paper not significant",IF(P26="","Exact paper latency unavailable",IF(T26&lt;=10,"Close (&lt;=10 ms)",IF(T26&lt;=20,"Similar (10-20 ms)","Different (&gt;20 ms)"))))))</x:f>
        <x:v>User not reliable/significant</x:v>
      </x:c>
      <x:c r="W26" s="37" t="b">
        <x:v>0</x:v>
      </x:c>
      <x:c r="X26" s="38"/>
      <x:c r="Y26" s="38"/>
      <x:c r="Z26" s="39"/>
      <x:c r="AA26" s="39" t="str">
        <x:f>IF(W26=FALSE,"Not explicitly reported in PDF",IF(AND(G26&gt;=X26,G26&lt;=Y26),"Within PDF value/range",IF(MIN(ABS(G26-X26),ABS(G26-Y26))&lt;=15,"Within 15 ms of PDF","Different from PDF")))</x:f>
        <x:v>Not explicitly reported in PDF</x:v>
      </x:c>
    </x:row>
    <x:row r="27">
      <x:c r="A27" s="20" t="str">
        <x:v>CEA</x:v>
      </x:c>
      <x:c r="B27" s="20" t="str">
        <x:v>Central amygdalar nucleus</x:v>
      </x:c>
      <x:c r="C27" s="20" t="str">
        <x:v>Cerebral nuclei</x:v>
      </x:c>
      <x:c r="D27" s="24" t="n">
        <x:v>13</x:v>
      </x:c>
      <x:c r="E27" s="24" t="n">
        <x:v>159</x:v>
      </x:c>
      <x:c r="F27" s="25" t="n">
        <x:v>4.023126267313485</x:v>
      </x:c>
      <x:c r="G27" s="25" t="n">
        <x:v>108.14968332510736</x:v>
      </x:c>
      <x:c r="H27" s="26" t="n">
        <x:v>0.0029970029970029</x:v>
      </x:c>
      <x:c r="I27" s="26" t="n">
        <x:v>0.0150415622113735</x:v>
      </x:c>
      <x:c r="J27" s="27" t="b">
        <x:v>1</x:v>
      </x:c>
      <x:c r="K27" s="27" t="b">
        <x:v>0</x:v>
      </x:c>
      <x:c r="L27" s="24" t="b">
        <x:f>AND(J27,K27)</x:f>
        <x:v>0</x:v>
      </x:c>
      <x:c r="M27" s="29" t="b">
        <x:v>1</x:v>
      </x:c>
      <x:c r="N27" s="30" t="n">
        <x:v>1</x:v>
      </x:c>
      <x:c r="O27" s="31" t="n">
        <x:v>-0.62</x:v>
      </x:c>
      <x:c r="P27" s="31" t="n">
        <x:v>93.6170212765957</x:v>
      </x:c>
      <x:c r="Q27" s="31" t="n">
        <x:v>0.3167208989909646</x:v>
      </x:c>
      <x:c r="R27" s="31" t="n">
        <x:v>1</x:v>
      </x:c>
      <x:c r="S27" s="33" t="n">
        <x:f>IF(OR(G27="",P27=""),"",G27-P27)</x:f>
        <x:v>14.532662048511668</x:v>
      </x:c>
      <x:c r="T27" s="33" t="n">
        <x:f>IF(S27="","",ABS(S27))</x:f>
        <x:v>14.532662048511668</x:v>
      </x:c>
      <x:c r="U27" s="34" t="str">
        <x:f>IF(M27=FALSE,"Not analysed in paper",IF(K27=N27,"Significance agrees",IF(K27=TRUE,"User only","Paper only")))</x:f>
        <x:v>Paper only</x:v>
      </x:c>
      <x:c r="V27" s="34" t="str">
        <x:f>IF(M27=FALSE,"Not analysed in paper",IF(L27=FALSE,"User not reliable/significant",IF(N27=FALSE,"Paper not significant",IF(P27="","Exact paper latency unavailable",IF(T27&lt;=10,"Close (&lt;=10 ms)",IF(T27&lt;=20,"Similar (10-20 ms)","Different (&gt;20 ms)"))))))</x:f>
        <x:v>User not reliable/significant</x:v>
      </x:c>
      <x:c r="W27" s="37" t="b">
        <x:v>0</x:v>
      </x:c>
      <x:c r="X27" s="38"/>
      <x:c r="Y27" s="38"/>
      <x:c r="Z27" s="39"/>
      <x:c r="AA27" s="39" t="str">
        <x:f>IF(W27=FALSE,"Not explicitly reported in PDF",IF(AND(G27&gt;=X27,G27&lt;=Y27),"Within PDF value/range",IF(MIN(ABS(G27-X27),ABS(G27-Y27))&lt;=15,"Within 15 ms of PDF","Different from PDF")))</x:f>
        <x:v>Not explicitly reported in PDF</x:v>
      </x:c>
    </x:row>
    <x:row r="28">
      <x:c r="A28" s="20" t="str">
        <x:v>CP</x:v>
      </x:c>
      <x:c r="B28" s="20" t="str">
        <x:v>Caudoputamen</x:v>
      </x:c>
      <x:c r="C28" s="20" t="str">
        <x:v>Cerebral nuclei</x:v>
      </x:c>
      <x:c r="D28" s="24" t="n">
        <x:v>76</x:v>
      </x:c>
      <x:c r="E28" s="24" t="n">
        <x:v>2892</x:v>
      </x:c>
      <x:c r="F28" s="25" t="n">
        <x:v>3.4420387848795384</x:v>
      </x:c>
      <x:c r="G28" s="25" t="n">
        <x:v>117.9345620623452</x:v>
      </x:c>
      <x:c r="H28" s="26" t="n">
        <x:v>0.0009990009990009</x:v>
      </x:c>
      <x:c r="I28" s="26" t="n">
        <x:v>0.0066433566433566</x:v>
      </x:c>
      <x:c r="J28" s="27" t="b">
        <x:v>1</x:v>
      </x:c>
      <x:c r="K28" s="27" t="b">
        <x:v>1</x:v>
      </x:c>
      <x:c r="L28" s="24" t="b">
        <x:f>AND(J28,K28)</x:f>
        <x:v>1</x:v>
      </x:c>
      <x:c r="M28" s="29" t="b">
        <x:v>1</x:v>
      </x:c>
      <x:c r="N28" s="30" t="n">
        <x:v>1</x:v>
      </x:c>
      <x:c r="O28" s="31" t="n">
        <x:v>-0.7</x:v>
      </x:c>
      <x:c r="P28" s="31" t="n">
        <x:v>82.9787234042553</x:v>
      </x:c>
      <x:c r="Q28" s="31" t="n">
        <x:v>0.2047247146378087</x:v>
      </x:c>
      <x:c r="R28" s="31" t="n">
        <x:v>1</x:v>
      </x:c>
      <x:c r="S28" s="33" t="n">
        <x:f>IF(OR(G28="",P28=""),"",G28-P28)</x:f>
        <x:v>34.95583865808989</x:v>
      </x:c>
      <x:c r="T28" s="33" t="n">
        <x:f>IF(S28="","",ABS(S28))</x:f>
        <x:v>34.95583865808989</x:v>
      </x:c>
      <x:c r="U28" s="34" t="str">
        <x:f>IF(M28=FALSE,"Not analysed in paper",IF(K28=N28,"Significance agrees",IF(K28=TRUE,"User only","Paper only")))</x:f>
        <x:v>Significance agrees</x:v>
      </x:c>
      <x:c r="V28" s="34" t="str">
        <x:f>IF(M28=FALSE,"Not analysed in paper",IF(L28=FALSE,"User not reliable/significant",IF(N28=FALSE,"Paper not significant",IF(P28="","Exact paper latency unavailable",IF(T28&lt;=10,"Close (&lt;=10 ms)",IF(T28&lt;=20,"Similar (10-20 ms)","Different (&gt;20 ms)"))))))</x:f>
        <x:v>Different (&gt;20 ms)</x:v>
      </x:c>
      <x:c r="W28" s="37" t="b">
        <x:v>0</x:v>
      </x:c>
      <x:c r="X28" s="38"/>
      <x:c r="Y28" s="38"/>
      <x:c r="Z28" s="39"/>
      <x:c r="AA28" s="39" t="str">
        <x:f>IF(W28=FALSE,"Not explicitly reported in PDF",IF(AND(G28&gt;=X28,G28&lt;=Y28),"Within PDF value/range",IF(MIN(ABS(G28-X28),ABS(G28-Y28))&lt;=15,"Within 15 ms of PDF","Different from PDF")))</x:f>
        <x:v>Not explicitly reported in PDF</x:v>
      </x:c>
    </x:row>
    <x:row r="29">
      <x:c r="A29" s="20" t="str">
        <x:v>FS</x:v>
      </x:c>
      <x:c r="B29" s="20" t="str">
        <x:v>Fundus of striatum</x:v>
      </x:c>
      <x:c r="C29" s="20" t="str">
        <x:v>Cerebral nuclei</x:v>
      </x:c>
      <x:c r="D29" s="24" t="n">
        <x:v>4</x:v>
      </x:c>
      <x:c r="E29" s="24" t="n">
        <x:v>32</x:v>
      </x:c>
      <x:c r="F29" s="25" t="n">
        <x:v>2.6880697784614127</x:v>
      </x:c>
      <x:c r="G29" s="25" t="n">
        <x:v>123.93410106835724</x:v>
      </x:c>
      <x:c r="H29" s="26" t="n">
        <x:v>0.5454545454545454</x:v>
      </x:c>
      <x:c r="I29" s="26" t="n">
        <x:v>0.6824255556649923</x:v>
      </x:c>
      <x:c r="J29" s="27" t="b">
        <x:v>1</x:v>
      </x:c>
      <x:c r="K29" s="27" t="b">
        <x:v>0</x:v>
      </x:c>
      <x:c r="L29" s="24" t="b">
        <x:f>AND(J29,K29)</x:f>
        <x:v>0</x:v>
      </x:c>
      <x:c r="M29" s="29" t="b">
        <x:v>1</x:v>
      </x:c>
      <x:c r="N29" s="30" t="n">
        <x:v>0</x:v>
      </x:c>
      <x:c r="O29" s="31" t="n">
        <x:v>-0.61</x:v>
      </x:c>
      <x:c r="P29" s="31"/>
      <x:c r="Q29" s="31"/>
      <x:c r="R29" s="31"/>
      <x:c r="S29" s="33" t="str">
        <x:f>IF(OR(G29="",P29=""),"",G29-P29)</x:f>
      </x:c>
      <x:c r="T29" s="33" t="str">
        <x:f>IF(S29="","",ABS(S29))</x:f>
      </x:c>
      <x:c r="U29" s="34" t="str">
        <x:f>IF(M29=FALSE,"Not analysed in paper",IF(K29=N29,"Significance agrees",IF(K29=TRUE,"User only","Paper only")))</x:f>
        <x:v>Significance agrees</x:v>
      </x:c>
      <x:c r="V29" s="34" t="str">
        <x:f>IF(M29=FALSE,"Not analysed in paper",IF(L29=FALSE,"User not reliable/significant",IF(N29=FALSE,"Paper not significant",IF(P29="","Exact paper latency unavailable",IF(T29&lt;=10,"Close (&lt;=10 ms)",IF(T29&lt;=20,"Similar (10-20 ms)","Different (&gt;20 ms)"))))))</x:f>
        <x:v>User not reliable/significant</x:v>
      </x:c>
      <x:c r="W29" s="37" t="b">
        <x:v>0</x:v>
      </x:c>
      <x:c r="X29" s="38"/>
      <x:c r="Y29" s="38"/>
      <x:c r="Z29" s="39"/>
      <x:c r="AA29" s="39" t="str">
        <x:f>IF(W29=FALSE,"Not explicitly reported in PDF",IF(AND(G29&gt;=X29,G29&lt;=Y29),"Within PDF value/range",IF(MIN(ABS(G29-X29),ABS(G29-Y29))&lt;=15,"Within 15 ms of PDF","Different from PDF")))</x:f>
        <x:v>Not explicitly reported in PDF</x:v>
      </x:c>
    </x:row>
    <x:row r="30">
      <x:c r="A30" s="20" t="str">
        <x:v>GPe</x:v>
      </x:c>
      <x:c r="B30" s="20" t="str">
        <x:v>Globus pallidus external segment</x:v>
      </x:c>
      <x:c r="C30" s="20" t="str">
        <x:v>Cerebral nuclei</x:v>
      </x:c>
      <x:c r="D30" s="24" t="n">
        <x:v>13</x:v>
      </x:c>
      <x:c r="E30" s="24" t="n">
        <x:v>322</x:v>
      </x:c>
      <x:c r="F30" s="25" t="n">
        <x:v>6.542902523352985</x:v>
      </x:c>
      <x:c r="G30" s="25" t="n">
        <x:v>123.41141835087608</x:v>
      </x:c>
      <x:c r="H30" s="26" t="n">
        <x:v>0.0009990009990009</x:v>
      </x:c>
      <x:c r="I30" s="26" t="n">
        <x:v>0.0066433566433566</x:v>
      </x:c>
      <x:c r="J30" s="27" t="b">
        <x:v>1</x:v>
      </x:c>
      <x:c r="K30" s="27" t="b">
        <x:v>1</x:v>
      </x:c>
      <x:c r="L30" s="24" t="b">
        <x:f>AND(J30,K30)</x:f>
        <x:v>1</x:v>
      </x:c>
      <x:c r="M30" s="29" t="b">
        <x:v>1</x:v>
      </x:c>
      <x:c r="N30" s="30" t="n">
        <x:v>1</x:v>
      </x:c>
      <x:c r="O30" s="31" t="n">
        <x:v>-0.41</x:v>
      </x:c>
      <x:c r="P30" s="31" t="n">
        <x:v>85.1063829787234</x:v>
      </x:c>
      <x:c r="Q30" s="31" t="n">
        <x:v>0.5101172229656604</x:v>
      </x:c>
      <x:c r="R30" s="31" t="n">
        <x:v>1</x:v>
      </x:c>
      <x:c r="S30" s="33" t="n">
        <x:f>IF(OR(G30="",P30=""),"",G30-P30)</x:f>
        <x:v>38.30503537215267</x:v>
      </x:c>
      <x:c r="T30" s="33" t="n">
        <x:f>IF(S30="","",ABS(S30))</x:f>
        <x:v>38.30503537215267</x:v>
      </x:c>
      <x:c r="U30" s="34" t="str">
        <x:f>IF(M30=FALSE,"Not analysed in paper",IF(K30=N30,"Significance agrees",IF(K30=TRUE,"User only","Paper only")))</x:f>
        <x:v>Significance agrees</x:v>
      </x:c>
      <x:c r="V30" s="34" t="str">
        <x:f>IF(M30=FALSE,"Not analysed in paper",IF(L30=FALSE,"User not reliable/significant",IF(N30=FALSE,"Paper not significant",IF(P30="","Exact paper latency unavailable",IF(T30&lt;=10,"Close (&lt;=10 ms)",IF(T30&lt;=20,"Similar (10-20 ms)","Different (&gt;20 ms)"))))))</x:f>
        <x:v>Different (&gt;20 ms)</x:v>
      </x:c>
      <x:c r="W30" s="37" t="b">
        <x:v>0</x:v>
      </x:c>
      <x:c r="X30" s="38"/>
      <x:c r="Y30" s="38"/>
      <x:c r="Z30" s="39"/>
      <x:c r="AA30" s="39" t="str">
        <x:f>IF(W30=FALSE,"Not explicitly reported in PDF",IF(AND(G30&gt;=X30,G30&lt;=Y30),"Within PDF value/range",IF(MIN(ABS(G30-X30),ABS(G30-Y30))&lt;=15,"Within 15 ms of PDF","Different from PDF")))</x:f>
        <x:v>Not explicitly reported in PDF</x:v>
      </x:c>
    </x:row>
    <x:row r="31">
      <x:c r="A31" s="20" t="str">
        <x:v>GPi</x:v>
      </x:c>
      <x:c r="B31" s="20" t="str">
        <x:v>Globus pallidus internal segment</x:v>
      </x:c>
      <x:c r="C31" s="20" t="str">
        <x:v>Cerebral nuclei</x:v>
      </x:c>
      <x:c r="D31" s="24" t="n">
        <x:v>5</x:v>
      </x:c>
      <x:c r="E31" s="24" t="n">
        <x:v>45</x:v>
      </x:c>
      <x:c r="F31" s="25" t="n">
        <x:v>6.985503821516588</x:v>
      </x:c>
      <x:c r="G31" s="25" t="n">
        <x:v>121.9091383213763</x:v>
      </x:c>
      <x:c r="H31" s="26" t="n">
        <x:v>0.0159840159840159</x:v>
      </x:c>
      <x:c r="I31" s="26" t="n">
        <x:v>0.0531468531468531</x:v>
      </x:c>
      <x:c r="J31" s="27" t="b">
        <x:v>1</x:v>
      </x:c>
      <x:c r="K31" s="27" t="b">
        <x:v>0</x:v>
      </x:c>
      <x:c r="L31" s="24" t="b">
        <x:f>AND(J31,K31)</x:f>
        <x:v>0</x:v>
      </x:c>
      <x:c r="M31" s="29" t="b">
        <x:v>1</x:v>
      </x:c>
      <x:c r="N31" s="30" t="n">
        <x:v>1</x:v>
      </x:c>
      <x:c r="O31" s="31" t="n">
        <x:v>-0.37</x:v>
      </x:c>
      <x:c r="P31" s="31"/>
      <x:c r="Q31" s="31"/>
      <x:c r="R31" s="31"/>
      <x:c r="S31" s="33" t="str">
        <x:f>IF(OR(G31="",P31=""),"",G31-P31)</x:f>
      </x:c>
      <x:c r="T31" s="33" t="str">
        <x:f>IF(S31="","",ABS(S31))</x:f>
      </x:c>
      <x:c r="U31" s="34" t="str">
        <x:f>IF(M31=FALSE,"Not analysed in paper",IF(K31=N31,"Significance agrees",IF(K31=TRUE,"User only","Paper only")))</x:f>
        <x:v>Paper only</x:v>
      </x:c>
      <x:c r="V31" s="34" t="str">
        <x:f>IF(M31=FALSE,"Not analysed in paper",IF(L31=FALSE,"User not reliable/significant",IF(N31=FALSE,"Paper not significant",IF(P31="","Exact paper latency unavailable",IF(T31&lt;=10,"Close (&lt;=10 ms)",IF(T31&lt;=20,"Similar (10-20 ms)","Different (&gt;20 ms)"))))))</x:f>
        <x:v>User not reliable/significant</x:v>
      </x:c>
      <x:c r="W31" s="37" t="b">
        <x:v>0</x:v>
      </x:c>
      <x:c r="X31" s="38"/>
      <x:c r="Y31" s="38"/>
      <x:c r="Z31" s="39"/>
      <x:c r="AA31" s="39" t="str">
        <x:f>IF(W31=FALSE,"Not explicitly reported in PDF",IF(AND(G31&gt;=X31,G31&lt;=Y31),"Within PDF value/range",IF(MIN(ABS(G31-X31),ABS(G31-Y31))&lt;=15,"Within 15 ms of PDF","Different from PDF")))</x:f>
        <x:v>Not explicitly reported in PDF</x:v>
      </x:c>
    </x:row>
    <x:row r="32">
      <x:c r="A32" s="20" t="str">
        <x:v>IA</x:v>
      </x:c>
      <x:c r="B32" s="20" t="str">
        <x:v>Intercalated amygdalar nucleus</x:v>
      </x:c>
      <x:c r="C32" s="20" t="str">
        <x:v>Cerebral nuclei</x:v>
      </x:c>
      <x:c r="D32" s="24" t="n">
        <x:v>2</x:v>
      </x:c>
      <x:c r="E32" s="24" t="n">
        <x:v>18</x:v>
      </x:c>
      <x:c r="F32" s="25" t="n">
        <x:v>2.872069690213185</x:v>
      </x:c>
      <x:c r="G32" s="25" t="n">
        <x:v>79.90913654724804</x:v>
      </x:c>
      <x:c r="H32" s="26" t="n">
        <x:v>0.0209790209790209</x:v>
      </x:c>
      <x:c r="I32" s="26" t="n">
        <x:v>0.06270134360022</x:v>
      </x:c>
      <x:c r="J32" s="27" t="b">
        <x:v>0</x:v>
      </x:c>
      <x:c r="K32" s="27" t="b">
        <x:v>0</x:v>
      </x:c>
      <x:c r="L32" s="24" t="b">
        <x:f>AND(J32,K32)</x:f>
        <x:v>0</x:v>
      </x:c>
      <x:c r="M32" s="29" t="b">
        <x:v>0</x:v>
      </x:c>
      <x:c r="N32" s="30"/>
      <x:c r="O32" s="31"/>
      <x:c r="P32" s="31"/>
      <x:c r="Q32" s="31"/>
      <x:c r="R32" s="31"/>
      <x:c r="S32" s="33" t="str">
        <x:f>IF(OR(G32="",P32=""),"",G32-P32)</x:f>
      </x:c>
      <x:c r="T32" s="33" t="str">
        <x:f>IF(S32="","",ABS(S32))</x:f>
      </x:c>
      <x:c r="U32" s="34" t="str">
        <x:f>IF(M32=FALSE,"Not analysed in paper",IF(K32=N32,"Significance agrees",IF(K32=TRUE,"User only","Paper only")))</x:f>
        <x:v>Not analysed in paper</x:v>
      </x:c>
      <x:c r="V32" s="34" t="str">
        <x:f>IF(M32=FALSE,"Not analysed in paper",IF(L32=FALSE,"User not reliable/significant",IF(N32=FALSE,"Paper not significant",IF(P32="","Exact paper latency unavailable",IF(T32&lt;=10,"Close (&lt;=10 ms)",IF(T32&lt;=20,"Similar (10-20 ms)","Different (&gt;20 ms)"))))))</x:f>
        <x:v>Not analysed in paper</x:v>
      </x:c>
      <x:c r="W32" s="37" t="b">
        <x:v>0</x:v>
      </x:c>
      <x:c r="X32" s="38"/>
      <x:c r="Y32" s="38"/>
      <x:c r="Z32" s="39"/>
      <x:c r="AA32" s="39" t="str">
        <x:f>IF(W32=FALSE,"Not explicitly reported in PDF",IF(AND(G32&gt;=X32,G32&lt;=Y32),"Within PDF value/range",IF(MIN(ABS(G32-X32),ABS(G32-Y32))&lt;=15,"Within 15 ms of PDF","Different from PDF")))</x:f>
        <x:v>Not explicitly reported in PDF</x:v>
      </x:c>
    </x:row>
    <x:row r="33">
      <x:c r="A33" s="20" t="str">
        <x:v>LSc</x:v>
      </x:c>
      <x:c r="B33" s="20" t="str">
        <x:v>Lateral septal nucleus caudal (caudodorsal) part</x:v>
      </x:c>
      <x:c r="C33" s="20" t="str">
        <x:v>Cerebral nuclei</x:v>
      </x:c>
      <x:c r="D33" s="24" t="n">
        <x:v>11</x:v>
      </x:c>
      <x:c r="E33" s="24" t="n">
        <x:v>111</x:v>
      </x:c>
      <x:c r="F33" s="25" t="n">
        <x:v>0.8641250400229021</x:v>
      </x:c>
      <x:c r="G33" s="25" t="n">
        <x:v>137.44008608929693</x:v>
      </x:c>
      <x:c r="H33" s="26" t="n">
        <x:v>0.3046953046953047</x:v>
      </x:c>
      <x:c r="I33" s="26" t="n">
        <x:v>0.4579036782426613</x:v>
      </x:c>
      <x:c r="J33" s="27" t="b">
        <x:v>1</x:v>
      </x:c>
      <x:c r="K33" s="27" t="b">
        <x:v>0</x:v>
      </x:c>
      <x:c r="L33" s="24" t="b">
        <x:f>AND(J33,K33)</x:f>
        <x:v>0</x:v>
      </x:c>
      <x:c r="M33" s="29" t="b">
        <x:v>1</x:v>
      </x:c>
      <x:c r="N33" s="30" t="n">
        <x:v>0</x:v>
      </x:c>
      <x:c r="O33" s="31" t="n">
        <x:v>-1.11</x:v>
      </x:c>
      <x:c r="P33" s="31" t="n">
        <x:v>0</x:v>
      </x:c>
      <x:c r="Q33" s="31" t="n">
        <x:v>0.1204081432272397</x:v>
      </x:c>
      <x:c r="R33" s="31" t="n">
        <x:v>1</x:v>
      </x:c>
      <x:c r="S33" s="33" t="str">
        <x:f>IF(OR(G33="",P33=""),"",G33-P33)</x:f>
      </x:c>
      <x:c r="T33" s="33" t="str">
        <x:f>IF(S33="","",ABS(S33))</x:f>
      </x:c>
      <x:c r="U33" s="34" t="str">
        <x:f>IF(M33=FALSE,"Not analysed in paper",IF(K33=N33,"Significance agrees",IF(K33=TRUE,"User only","Paper only")))</x:f>
        <x:v>Significance agrees</x:v>
      </x:c>
      <x:c r="V33" s="34" t="str">
        <x:f>IF(M33=FALSE,"Not analysed in paper",IF(L33=FALSE,"User not reliable/significant",IF(N33=FALSE,"Paper not significant",IF(P33="","Exact paper latency unavailable",IF(T33&lt;=10,"Close (&lt;=10 ms)",IF(T33&lt;=20,"Similar (10-20 ms)","Different (&gt;20 ms)"))))))</x:f>
        <x:v>User not reliable/significant</x:v>
      </x:c>
      <x:c r="W33" s="37" t="b">
        <x:v>0</x:v>
      </x:c>
      <x:c r="X33" s="38"/>
      <x:c r="Y33" s="38"/>
      <x:c r="Z33" s="39"/>
      <x:c r="AA33" s="39" t="str">
        <x:f>IF(W33=FALSE,"Not explicitly reported in PDF",IF(AND(G33&gt;=X33,G33&lt;=Y33),"Within PDF value/range",IF(MIN(ABS(G33-X33),ABS(G33-Y33))&lt;=15,"Within 15 ms of PDF","Different from PDF")))</x:f>
        <x:v>Not explicitly reported in PDF</x:v>
      </x:c>
    </x:row>
    <x:row r="34">
      <x:c r="A34" s="20" t="str">
        <x:v>LSr</x:v>
      </x:c>
      <x:c r="B34" s="20" t="str">
        <x:v>Lateral septal nucleus rostral (rostroventral) part</x:v>
      </x:c>
      <x:c r="C34" s="20" t="str">
        <x:v>Cerebral nuclei</x:v>
      </x:c>
      <x:c r="D34" s="24" t="n">
        <x:v>29</x:v>
      </x:c>
      <x:c r="E34" s="24" t="n">
        <x:v>1156</x:v>
      </x:c>
      <x:c r="F34" s="25" t="n">
        <x:v>0.79462221402152</x:v>
      </x:c>
      <x:c r="G34" s="25" t="n">
        <x:v>97.37473620467269</x:v>
      </x:c>
      <x:c r="H34" s="26" t="n">
        <x:v>0.0049950049950049</x:v>
      </x:c>
      <x:c r="I34" s="26" t="n">
        <x:v>0.0229081263564022</x:v>
      </x:c>
      <x:c r="J34" s="27" t="b">
        <x:v>1</x:v>
      </x:c>
      <x:c r="K34" s="27" t="b">
        <x:v>0</x:v>
      </x:c>
      <x:c r="L34" s="24" t="b">
        <x:f>AND(J34,K34)</x:f>
        <x:v>0</x:v>
      </x:c>
      <x:c r="M34" s="29" t="b">
        <x:v>1</x:v>
      </x:c>
      <x:c r="N34" s="30" t="n">
        <x:v>1</x:v>
      </x:c>
      <x:c r="O34" s="31" t="n">
        <x:v>-1.02</x:v>
      </x:c>
      <x:c r="P34" s="31" t="n">
        <x:v>93.6170212765957</x:v>
      </x:c>
      <x:c r="Q34" s="31" t="n">
        <x:v>0.125010644995119</x:v>
      </x:c>
      <x:c r="R34" s="31" t="n">
        <x:v>1</x:v>
      </x:c>
      <x:c r="S34" s="33" t="n">
        <x:f>IF(OR(G34="",P34=""),"",G34-P34)</x:f>
        <x:v>3.757714928076993</x:v>
      </x:c>
      <x:c r="T34" s="33" t="n">
        <x:f>IF(S34="","",ABS(S34))</x:f>
        <x:v>3.757714928076993</x:v>
      </x:c>
      <x:c r="U34" s="34" t="str">
        <x:f>IF(M34=FALSE,"Not analysed in paper",IF(K34=N34,"Significance agrees",IF(K34=TRUE,"User only","Paper only")))</x:f>
        <x:v>Paper only</x:v>
      </x:c>
      <x:c r="V34" s="34" t="str">
        <x:f>IF(M34=FALSE,"Not analysed in paper",IF(L34=FALSE,"User not reliable/significant",IF(N34=FALSE,"Paper not significant",IF(P34="","Exact paper latency unavailable",IF(T34&lt;=10,"Close (&lt;=10 ms)",IF(T34&lt;=20,"Similar (10-20 ms)","Different (&gt;20 ms)"))))))</x:f>
        <x:v>User not reliable/significant</x:v>
      </x:c>
      <x:c r="W34" s="37" t="b">
        <x:v>0</x:v>
      </x:c>
      <x:c r="X34" s="38"/>
      <x:c r="Y34" s="38"/>
      <x:c r="Z34" s="39"/>
      <x:c r="AA34" s="39" t="str">
        <x:f>IF(W34=FALSE,"Not explicitly reported in PDF",IF(AND(G34&gt;=X34,G34&lt;=Y34),"Within PDF value/range",IF(MIN(ABS(G34-X34),ABS(G34-Y34))&lt;=15,"Within 15 ms of PDF","Different from PDF")))</x:f>
        <x:v>Not explicitly reported in PDF</x:v>
      </x:c>
    </x:row>
    <x:row r="35">
      <x:c r="A35" s="20" t="str">
        <x:v>LSv</x:v>
      </x:c>
      <x:c r="B35" s="20" t="str">
        <x:v>Lateral septal nucleus ventral part</x:v>
      </x:c>
      <x:c r="C35" s="20" t="str">
        <x:v>Cerebral nuclei</x:v>
      </x:c>
      <x:c r="D35" s="24" t="n">
        <x:v>15</x:v>
      </x:c>
      <x:c r="E35" s="24" t="n">
        <x:v>164</x:v>
      </x:c>
      <x:c r="F35" s="25" t="n">
        <x:v>1.947987735903339</x:v>
      </x:c>
      <x:c r="G35" s="25" t="n">
        <x:v>10.72349357737572</x:v>
      </x:c>
      <x:c r="H35" s="26" t="n">
        <x:v>0.8851148851148851</x:v>
      </x:c>
      <x:c r="I35" s="26" t="n">
        <x:v>0.9305950966030018</x:v>
      </x:c>
      <x:c r="J35" s="27" t="b">
        <x:v>1</x:v>
      </x:c>
      <x:c r="K35" s="27" t="b">
        <x:v>0</x:v>
      </x:c>
      <x:c r="L35" s="24" t="b">
        <x:f>AND(J35,K35)</x:f>
        <x:v>0</x:v>
      </x:c>
      <x:c r="M35" s="29" t="b">
        <x:v>1</x:v>
      </x:c>
      <x:c r="N35" s="30" t="n">
        <x:v>1</x:v>
      </x:c>
      <x:c r="O35" s="31" t="n">
        <x:v>-0.53</x:v>
      </x:c>
      <x:c r="P35" s="31" t="n">
        <x:v>4.2553191489361</x:v>
      </x:c>
      <x:c r="Q35" s="31" t="n">
        <x:v>0.074651754273336</x:v>
      </x:c>
      <x:c r="R35" s="31" t="n">
        <x:v>0</x:v>
      </x:c>
      <x:c r="S35" s="33" t="n">
        <x:f>IF(OR(G35="",P35=""),"",G35-P35)</x:f>
        <x:v>6.46817442843962</x:v>
      </x:c>
      <x:c r="T35" s="33" t="n">
        <x:f>IF(S35="","",ABS(S35))</x:f>
        <x:v>6.46817442843962</x:v>
      </x:c>
      <x:c r="U35" s="34" t="str">
        <x:f>IF(M35=FALSE,"Not analysed in paper",IF(K35=N35,"Significance agrees",IF(K35=TRUE,"User only","Paper only")))</x:f>
        <x:v>Paper only</x:v>
      </x:c>
      <x:c r="V35" s="34" t="str">
        <x:f>IF(M35=FALSE,"Not analysed in paper",IF(L35=FALSE,"User not reliable/significant",IF(N35=FALSE,"Paper not significant",IF(P35="","Exact paper latency unavailable",IF(T35&lt;=10,"Close (&lt;=10 ms)",IF(T35&lt;=20,"Similar (10-20 ms)","Different (&gt;20 ms)"))))))</x:f>
        <x:v>User not reliable/significant</x:v>
      </x:c>
      <x:c r="W35" s="37" t="b">
        <x:v>0</x:v>
      </x:c>
      <x:c r="X35" s="38"/>
      <x:c r="Y35" s="38"/>
      <x:c r="Z35" s="39"/>
      <x:c r="AA35" s="39" t="str">
        <x:f>IF(W35=FALSE,"Not explicitly reported in PDF",IF(AND(G35&gt;=X35,G35&lt;=Y35),"Within PDF value/range",IF(MIN(ABS(G35-X35),ABS(G35-Y35))&lt;=15,"Within 15 ms of PDF","Different from PDF")))</x:f>
        <x:v>Not explicitly reported in PDF</x:v>
      </x:c>
    </x:row>
    <x:row r="36">
      <x:c r="A36" s="20" t="str">
        <x:v>MA</x:v>
      </x:c>
      <x:c r="B36" s="20" t="str">
        <x:v>Magnocellular nucleus</x:v>
      </x:c>
      <x:c r="C36" s="20" t="str">
        <x:v>Cerebral nuclei</x:v>
      </x:c>
      <x:c r="D36" s="24" t="n">
        <x:v>6</x:v>
      </x:c>
      <x:c r="E36" s="24" t="n">
        <x:v>48</x:v>
      </x:c>
      <x:c r="F36" s="25" t="n">
        <x:v>2.6813202251022767</x:v>
      </x:c>
      <x:c r="G36" s="25" t="n">
        <x:v>21.448826354166084</x:v>
      </x:c>
      <x:c r="H36" s="26" t="n">
        <x:v>0.0389610389610389</x:v>
      </x:c>
      <x:c r="I36" s="26" t="n">
        <x:v>0.0959595959595959</x:v>
      </x:c>
      <x:c r="J36" s="27" t="b">
        <x:v>1</x:v>
      </x:c>
      <x:c r="K36" s="27" t="b">
        <x:v>0</x:v>
      </x:c>
      <x:c r="L36" s="24" t="b">
        <x:f>AND(J36,K36)</x:f>
        <x:v>0</x:v>
      </x:c>
      <x:c r="M36" s="29" t="b">
        <x:v>1</x:v>
      </x:c>
      <x:c r="N36" s="30" t="n">
        <x:v>0</x:v>
      </x:c>
      <x:c r="O36" s="31" t="n">
        <x:v>-0.64</x:v>
      </x:c>
      <x:c r="P36" s="31"/>
      <x:c r="Q36" s="31"/>
      <x:c r="R36" s="31"/>
      <x:c r="S36" s="33" t="str">
        <x:f>IF(OR(G36="",P36=""),"",G36-P36)</x:f>
      </x:c>
      <x:c r="T36" s="33" t="str">
        <x:f>IF(S36="","",ABS(S36))</x:f>
      </x:c>
      <x:c r="U36" s="34" t="str">
        <x:f>IF(M36=FALSE,"Not analysed in paper",IF(K36=N36,"Significance agrees",IF(K36=TRUE,"User only","Paper only")))</x:f>
        <x:v>Significance agrees</x:v>
      </x:c>
      <x:c r="V36" s="34" t="str">
        <x:f>IF(M36=FALSE,"Not analysed in paper",IF(L36=FALSE,"User not reliable/significant",IF(N36=FALSE,"Paper not significant",IF(P36="","Exact paper latency unavailable",IF(T36&lt;=10,"Close (&lt;=10 ms)",IF(T36&lt;=20,"Similar (10-20 ms)","Different (&gt;20 ms)"))))))</x:f>
        <x:v>User not reliable/significant</x:v>
      </x:c>
      <x:c r="W36" s="37" t="b">
        <x:v>0</x:v>
      </x:c>
      <x:c r="X36" s="38"/>
      <x:c r="Y36" s="38"/>
      <x:c r="Z36" s="39"/>
      <x:c r="AA36" s="39" t="str">
        <x:f>IF(W36=FALSE,"Not explicitly reported in PDF",IF(AND(G36&gt;=X36,G36&lt;=Y36),"Within PDF value/range",IF(MIN(ABS(G36-X36),ABS(G36-Y36))&lt;=15,"Within 15 ms of PDF","Different from PDF")))</x:f>
        <x:v>Not explicitly reported in PDF</x:v>
      </x:c>
    </x:row>
    <x:row r="37">
      <x:c r="A37" s="20" t="str">
        <x:v>MEA</x:v>
      </x:c>
      <x:c r="B37" s="20" t="str">
        <x:v>Medial amygdalar nucleus</x:v>
      </x:c>
      <x:c r="C37" s="20" t="str">
        <x:v>Cerebral nuclei</x:v>
      </x:c>
      <x:c r="D37" s="24" t="n">
        <x:v>12</x:v>
      </x:c>
      <x:c r="E37" s="24" t="n">
        <x:v>184</x:v>
      </x:c>
      <x:c r="F37" s="25" t="n">
        <x:v>1.1660029482168832</x:v>
      </x:c>
      <x:c r="G37" s="25" t="n">
        <x:v>54.23929362798195</x:v>
      </x:c>
      <x:c r="H37" s="26" t="n">
        <x:v>0.4185814185814185</x:v>
      </x:c>
      <x:c r="I37" s="26" t="n">
        <x:v>0.5651911540236413</x:v>
      </x:c>
      <x:c r="J37" s="27" t="b">
        <x:v>1</x:v>
      </x:c>
      <x:c r="K37" s="27" t="b">
        <x:v>0</x:v>
      </x:c>
      <x:c r="L37" s="24" t="b">
        <x:f>AND(J37,K37)</x:f>
        <x:v>0</x:v>
      </x:c>
      <x:c r="M37" s="29" t="b">
        <x:v>1</x:v>
      </x:c>
      <x:c r="N37" s="30" t="n">
        <x:v>0</x:v>
      </x:c>
      <x:c r="O37" s="31" t="n">
        <x:v>-0.96</x:v>
      </x:c>
      <x:c r="P37" s="31" t="n">
        <x:v>70.2127659574468</x:v>
      </x:c>
      <x:c r="Q37" s="31" t="n">
        <x:v>0.0541180459023687</x:v>
      </x:c>
      <x:c r="R37" s="31" t="n">
        <x:v>0</x:v>
      </x:c>
      <x:c r="S37" s="33" t="n">
        <x:f>IF(OR(G37="",P37=""),"",G37-P37)</x:f>
        <x:v>-15.973472329464855</x:v>
      </x:c>
      <x:c r="T37" s="33" t="n">
        <x:f>IF(S37="","",ABS(S37))</x:f>
        <x:v>15.973472329464855</x:v>
      </x:c>
      <x:c r="U37" s="34" t="str">
        <x:f>IF(M37=FALSE,"Not analysed in paper",IF(K37=N37,"Significance agrees",IF(K37=TRUE,"User only","Paper only")))</x:f>
        <x:v>Significance agrees</x:v>
      </x:c>
      <x:c r="V37" s="34" t="str">
        <x:f>IF(M37=FALSE,"Not analysed in paper",IF(L37=FALSE,"User not reliable/significant",IF(N37=FALSE,"Paper not significant",IF(P37="","Exact paper latency unavailable",IF(T37&lt;=10,"Close (&lt;=10 ms)",IF(T37&lt;=20,"Similar (10-20 ms)","Different (&gt;20 ms)"))))))</x:f>
        <x:v>User not reliable/significant</x:v>
      </x:c>
      <x:c r="W37" s="37" t="b">
        <x:v>0</x:v>
      </x:c>
      <x:c r="X37" s="38"/>
      <x:c r="Y37" s="38"/>
      <x:c r="Z37" s="39"/>
      <x:c r="AA37" s="39" t="str">
        <x:f>IF(W37=FALSE,"Not explicitly reported in PDF",IF(AND(G37&gt;=X37,G37&lt;=Y37),"Within PDF value/range",IF(MIN(ABS(G37-X37),ABS(G37-Y37))&lt;=15,"Within 15 ms of PDF","Different from PDF")))</x:f>
        <x:v>Not explicitly reported in PDF</x:v>
      </x:c>
    </x:row>
    <x:row r="38">
      <x:c r="A38" s="20" t="str">
        <x:v>MS</x:v>
      </x:c>
      <x:c r="B38" s="20" t="str">
        <x:v>Medial septal nucleus</x:v>
      </x:c>
      <x:c r="C38" s="20" t="str">
        <x:v>Cerebral nuclei</x:v>
      </x:c>
      <x:c r="D38" s="24" t="n">
        <x:v>5</x:v>
      </x:c>
      <x:c r="E38" s="24" t="n">
        <x:v>106</x:v>
      </x:c>
      <x:c r="F38" s="25" t="n">
        <x:v>3.06168520820518</x:v>
      </x:c>
      <x:c r="G38" s="25" t="n">
        <x:v>36.45225538399609</x:v>
      </x:c>
      <x:c r="H38" s="26" t="n">
        <x:v>0.0029970029970029</x:v>
      </x:c>
      <x:c r="I38" s="26" t="n">
        <x:v>0.0150415622113735</x:v>
      </x:c>
      <x:c r="J38" s="27" t="b">
        <x:v>1</x:v>
      </x:c>
      <x:c r="K38" s="27" t="b">
        <x:v>0</x:v>
      </x:c>
      <x:c r="L38" s="24" t="b">
        <x:f>AND(J38,K38)</x:f>
        <x:v>0</x:v>
      </x:c>
      <x:c r="M38" s="29" t="b">
        <x:v>1</x:v>
      </x:c>
      <x:c r="N38" s="30" t="n">
        <x:v>1</x:v>
      </x:c>
      <x:c r="O38" s="31" t="n">
        <x:v>-0.49</x:v>
      </x:c>
      <x:c r="P38" s="31" t="n">
        <x:v>34.0425531914893</x:v>
      </x:c>
      <x:c r="Q38" s="31" t="n">
        <x:v>0.4894520307681014</x:v>
      </x:c>
      <x:c r="R38" s="31" t="n">
        <x:v>1</x:v>
      </x:c>
      <x:c r="S38" s="33" t="n">
        <x:f>IF(OR(G38="",P38=""),"",G38-P38)</x:f>
        <x:v>2.409702192506792</x:v>
      </x:c>
      <x:c r="T38" s="33" t="n">
        <x:f>IF(S38="","",ABS(S38))</x:f>
        <x:v>2.409702192506792</x:v>
      </x:c>
      <x:c r="U38" s="34" t="str">
        <x:f>IF(M38=FALSE,"Not analysed in paper",IF(K38=N38,"Significance agrees",IF(K38=TRUE,"User only","Paper only")))</x:f>
        <x:v>Paper only</x:v>
      </x:c>
      <x:c r="V38" s="34" t="str">
        <x:f>IF(M38=FALSE,"Not analysed in paper",IF(L38=FALSE,"User not reliable/significant",IF(N38=FALSE,"Paper not significant",IF(P38="","Exact paper latency unavailable",IF(T38&lt;=10,"Close (&lt;=10 ms)",IF(T38&lt;=20,"Similar (10-20 ms)","Different (&gt;20 ms)"))))))</x:f>
        <x:v>User not reliable/significant</x:v>
      </x:c>
      <x:c r="W38" s="37" t="b">
        <x:v>0</x:v>
      </x:c>
      <x:c r="X38" s="38"/>
      <x:c r="Y38" s="38"/>
      <x:c r="Z38" s="39"/>
      <x:c r="AA38" s="39" t="str">
        <x:f>IF(W38=FALSE,"Not explicitly reported in PDF",IF(AND(G38&gt;=X38,G38&lt;=Y38),"Within PDF value/range",IF(MIN(ABS(G38-X38),ABS(G38-Y38))&lt;=15,"Within 15 ms of PDF","Different from PDF")))</x:f>
        <x:v>Not explicitly reported in PDF</x:v>
      </x:c>
    </x:row>
    <x:row r="39">
      <x:c r="A39" s="20" t="str">
        <x:v>NDB</x:v>
      </x:c>
      <x:c r="B39" s="20" t="str">
        <x:v>Diagonal band nucleus</x:v>
      </x:c>
      <x:c r="C39" s="20" t="str">
        <x:v>Cerebral nuclei</x:v>
      </x:c>
      <x:c r="D39" s="24" t="n">
        <x:v>5</x:v>
      </x:c>
      <x:c r="E39" s="24" t="n">
        <x:v>50</x:v>
      </x:c>
      <x:c r="F39" s="25" t="n">
        <x:v>5.8321895418284235</x:v>
      </x:c>
      <x:c r="G39" s="25" t="n">
        <x:v>133.5451050550069</x:v>
      </x:c>
      <x:c r="H39" s="26" t="n">
        <x:v>0.0009990009990009</x:v>
      </x:c>
      <x:c r="I39" s="26" t="n">
        <x:v>0.0066433566433566</x:v>
      </x:c>
      <x:c r="J39" s="27" t="b">
        <x:v>1</x:v>
      </x:c>
      <x:c r="K39" s="27" t="b">
        <x:v>1</x:v>
      </x:c>
      <x:c r="L39" s="24" t="b">
        <x:f>AND(J39,K39)</x:f>
        <x:v>1</x:v>
      </x:c>
      <x:c r="M39" s="29" t="b">
        <x:v>1</x:v>
      </x:c>
      <x:c r="N39" s="30" t="n">
        <x:v>0</x:v>
      </x:c>
      <x:c r="O39" s="31" t="n">
        <x:v>-0.44</x:v>
      </x:c>
      <x:c r="P39" s="31"/>
      <x:c r="Q39" s="31"/>
      <x:c r="R39" s="31"/>
      <x:c r="S39" s="33" t="str">
        <x:f>IF(OR(G39="",P39=""),"",G39-P39)</x:f>
      </x:c>
      <x:c r="T39" s="33" t="str">
        <x:f>IF(S39="","",ABS(S39))</x:f>
      </x:c>
      <x:c r="U39" s="34" t="str">
        <x:f>IF(M39=FALSE,"Not analysed in paper",IF(K39=N39,"Significance agrees",IF(K39=TRUE,"User only","Paper only")))</x:f>
        <x:v>User only</x:v>
      </x:c>
      <x:c r="V39" s="34" t="str">
        <x:f>IF(M39=FALSE,"Not analysed in paper",IF(L39=FALSE,"User not reliable/significant",IF(N39=FALSE,"Paper not significant",IF(P39="","Exact paper latency unavailable",IF(T39&lt;=10,"Close (&lt;=10 ms)",IF(T39&lt;=20,"Similar (10-20 ms)","Different (&gt;20 ms)"))))))</x:f>
        <x:v>Paper not significant</x:v>
      </x:c>
      <x:c r="W39" s="37" t="b">
        <x:v>0</x:v>
      </x:c>
      <x:c r="X39" s="38"/>
      <x:c r="Y39" s="38"/>
      <x:c r="Z39" s="39"/>
      <x:c r="AA39" s="39" t="str">
        <x:f>IF(W39=FALSE,"Not explicitly reported in PDF",IF(AND(G39&gt;=X39,G39&lt;=Y39),"Within PDF value/range",IF(MIN(ABS(G39-X39),ABS(G39-Y39))&lt;=15,"Within 15 ms of PDF","Different from PDF")))</x:f>
        <x:v>Not explicitly reported in PDF</x:v>
      </x:c>
    </x:row>
    <x:row r="40">
      <x:c r="A40" s="20" t="str">
        <x:v>OT</x:v>
      </x:c>
      <x:c r="B40" s="20" t="str">
        <x:v>Olfactory tubercle</x:v>
      </x:c>
      <x:c r="C40" s="20" t="str">
        <x:v>Cerebral nuclei</x:v>
      </x:c>
      <x:c r="D40" s="24" t="n">
        <x:v>12</x:v>
      </x:c>
      <x:c r="E40" s="24" t="n">
        <x:v>79</x:v>
      </x:c>
      <x:c r="F40" s="25" t="n">
        <x:v>1.4485133225727456</x:v>
      </x:c>
      <x:c r="G40" s="25" t="n">
        <x:v>31.94586540910686</x:v>
      </x:c>
      <x:c r="H40" s="26" t="n">
        <x:v>0.4135864135864135</x:v>
      </x:c>
      <x:c r="I40" s="26" t="n">
        <x:v>0.5612958470101327</x:v>
      </x:c>
      <x:c r="J40" s="27" t="b">
        <x:v>1</x:v>
      </x:c>
      <x:c r="K40" s="27" t="b">
        <x:v>0</x:v>
      </x:c>
      <x:c r="L40" s="24" t="b">
        <x:f>AND(J40,K40)</x:f>
        <x:v>0</x:v>
      </x:c>
      <x:c r="M40" s="29" t="b">
        <x:v>1</x:v>
      </x:c>
      <x:c r="N40" s="30" t="n">
        <x:v>0</x:v>
      </x:c>
      <x:c r="O40" s="31" t="n">
        <x:v>-0.77</x:v>
      </x:c>
      <x:c r="P40" s="31" t="n">
        <x:v>48.9361702127659</x:v>
      </x:c>
      <x:c r="Q40" s="31" t="n">
        <x:v>0.158448689800581</x:v>
      </x:c>
      <x:c r="R40" s="31" t="n">
        <x:v>0</x:v>
      </x:c>
      <x:c r="S40" s="33" t="n">
        <x:f>IF(OR(G40="",P40=""),"",G40-P40)</x:f>
        <x:v>-16.99030480365904</x:v>
      </x:c>
      <x:c r="T40" s="33" t="n">
        <x:f>IF(S40="","",ABS(S40))</x:f>
        <x:v>16.99030480365904</x:v>
      </x:c>
      <x:c r="U40" s="34" t="str">
        <x:f>IF(M40=FALSE,"Not analysed in paper",IF(K40=N40,"Significance agrees",IF(K40=TRUE,"User only","Paper only")))</x:f>
        <x:v>Significance agrees</x:v>
      </x:c>
      <x:c r="V40" s="34" t="str">
        <x:f>IF(M40=FALSE,"Not analysed in paper",IF(L40=FALSE,"User not reliable/significant",IF(N40=FALSE,"Paper not significant",IF(P40="","Exact paper latency unavailable",IF(T40&lt;=10,"Close (&lt;=10 ms)",IF(T40&lt;=20,"Similar (10-20 ms)","Different (&gt;20 ms)"))))))</x:f>
        <x:v>User not reliable/significant</x:v>
      </x:c>
      <x:c r="W40" s="37" t="b">
        <x:v>0</x:v>
      </x:c>
      <x:c r="X40" s="38"/>
      <x:c r="Y40" s="38"/>
      <x:c r="Z40" s="39"/>
      <x:c r="AA40" s="39" t="str">
        <x:f>IF(W40=FALSE,"Not explicitly reported in PDF",IF(AND(G40&gt;=X40,G40&lt;=Y40),"Within PDF value/range",IF(MIN(ABS(G40-X40),ABS(G40-Y40))&lt;=15,"Within 15 ms of PDF","Different from PDF")))</x:f>
        <x:v>Not explicitly reported in PDF</x:v>
      </x:c>
    </x:row>
    <x:row r="41">
      <x:c r="A41" s="20" t="str">
        <x:v>SF</x:v>
      </x:c>
      <x:c r="B41" s="20" t="str">
        <x:v>Septofimbrial nucleus</x:v>
      </x:c>
      <x:c r="C41" s="20" t="str">
        <x:v>Cerebral nuclei</x:v>
      </x:c>
      <x:c r="D41" s="24" t="n">
        <x:v>10</x:v>
      </x:c>
      <x:c r="E41" s="24" t="n">
        <x:v>115</x:v>
      </x:c>
      <x:c r="F41" s="25" t="n">
        <x:v>1.1702612760299789</x:v>
      </x:c>
      <x:c r="G41" s="25" t="n">
        <x:v>124.5159534950192</x:v>
      </x:c>
      <x:c r="H41" s="26" t="n">
        <x:v>0.3276723276723277</x:v>
      </x:c>
      <x:c r="I41" s="26" t="n">
        <x:v>0.4842268842268842</x:v>
      </x:c>
      <x:c r="J41" s="27" t="b">
        <x:v>1</x:v>
      </x:c>
      <x:c r="K41" s="27" t="b">
        <x:v>0</x:v>
      </x:c>
      <x:c r="L41" s="24" t="b">
        <x:f>AND(J41,K41)</x:f>
        <x:v>0</x:v>
      </x:c>
      <x:c r="M41" s="29" t="b">
        <x:v>1</x:v>
      </x:c>
      <x:c r="N41" s="30" t="n">
        <x:v>0</x:v>
      </x:c>
      <x:c r="O41" s="31" t="n">
        <x:v>-1.11</x:v>
      </x:c>
      <x:c r="P41" s="31" t="n">
        <x:v>87.23404255319139</x:v>
      </x:c>
      <x:c r="Q41" s="31" t="n">
        <x:v>0.1394447291935694</x:v>
      </x:c>
      <x:c r="R41" s="31" t="n">
        <x:v>1</x:v>
      </x:c>
      <x:c r="S41" s="33" t="n">
        <x:f>IF(OR(G41="",P41=""),"",G41-P41)</x:f>
        <x:v>37.28191094182782</x:v>
      </x:c>
      <x:c r="T41" s="33" t="n">
        <x:f>IF(S41="","",ABS(S41))</x:f>
        <x:v>37.28191094182782</x:v>
      </x:c>
      <x:c r="U41" s="34" t="str">
        <x:f>IF(M41=FALSE,"Not analysed in paper",IF(K41=N41,"Significance agrees",IF(K41=TRUE,"User only","Paper only")))</x:f>
        <x:v>Significance agrees</x:v>
      </x:c>
      <x:c r="V41" s="34" t="str">
        <x:f>IF(M41=FALSE,"Not analysed in paper",IF(L41=FALSE,"User not reliable/significant",IF(N41=FALSE,"Paper not significant",IF(P41="","Exact paper latency unavailable",IF(T41&lt;=10,"Close (&lt;=10 ms)",IF(T41&lt;=20,"Similar (10-20 ms)","Different (&gt;20 ms)"))))))</x:f>
        <x:v>User not reliable/significant</x:v>
      </x:c>
      <x:c r="W41" s="37" t="b">
        <x:v>0</x:v>
      </x:c>
      <x:c r="X41" s="38"/>
      <x:c r="Y41" s="38"/>
      <x:c r="Z41" s="39"/>
      <x:c r="AA41" s="39" t="str">
        <x:f>IF(W41=FALSE,"Not explicitly reported in PDF",IF(AND(G41&gt;=X41,G41&lt;=Y41),"Within PDF value/range",IF(MIN(ABS(G41-X41),ABS(G41-Y41))&lt;=15,"Within 15 ms of PDF","Different from PDF")))</x:f>
        <x:v>Not explicitly reported in PDF</x:v>
      </x:c>
    </x:row>
    <x:row r="42">
      <x:c r="A42" s="20" t="str">
        <x:v>SH</x:v>
      </x:c>
      <x:c r="B42" s="20" t="str">
        <x:v>Septohippocampal nucleus</x:v>
      </x:c>
      <x:c r="C42" s="20" t="str">
        <x:v>Cerebral nuclei</x:v>
      </x:c>
      <x:c r="D42" s="24" t="n">
        <x:v>2</x:v>
      </x:c>
      <x:c r="E42" s="24" t="n">
        <x:v>4</x:v>
      </x:c>
      <x:c r="F42" s="25" t="n">
        <x:v>2.236330701951636</x:v>
      </x:c>
      <x:c r="G42" s="25" t="n">
        <x:v>69.68246797709408</x:v>
      </x:c>
      <x:c r="H42" s="26" t="n">
        <x:v>0.1718281718281718</x:v>
      </x:c>
      <x:c r="I42" s="26" t="n">
        <x:v>0.3088263088263088</x:v>
      </x:c>
      <x:c r="J42" s="27" t="b">
        <x:v>0</x:v>
      </x:c>
      <x:c r="K42" s="27" t="b">
        <x:v>0</x:v>
      </x:c>
      <x:c r="L42" s="24" t="b">
        <x:f>AND(J42,K42)</x:f>
        <x:v>0</x:v>
      </x:c>
      <x:c r="M42" s="29" t="b">
        <x:v>0</x:v>
      </x:c>
      <x:c r="N42" s="30"/>
      <x:c r="O42" s="31"/>
      <x:c r="P42" s="31"/>
      <x:c r="Q42" s="31"/>
      <x:c r="R42" s="31"/>
      <x:c r="S42" s="33" t="str">
        <x:f>IF(OR(G42="",P42=""),"",G42-P42)</x:f>
      </x:c>
      <x:c r="T42" s="33" t="str">
        <x:f>IF(S42="","",ABS(S42))</x:f>
      </x:c>
      <x:c r="U42" s="34" t="str">
        <x:f>IF(M42=FALSE,"Not analysed in paper",IF(K42=N42,"Significance agrees",IF(K42=TRUE,"User only","Paper only")))</x:f>
        <x:v>Not analysed in paper</x:v>
      </x:c>
      <x:c r="V42" s="34" t="str">
        <x:f>IF(M42=FALSE,"Not analysed in paper",IF(L42=FALSE,"User not reliable/significant",IF(N42=FALSE,"Paper not significant",IF(P42="","Exact paper latency unavailable",IF(T42&lt;=10,"Close (&lt;=10 ms)",IF(T42&lt;=20,"Similar (10-20 ms)","Different (&gt;20 ms)"))))))</x:f>
        <x:v>Not analysed in paper</x:v>
      </x:c>
      <x:c r="W42" s="37" t="b">
        <x:v>0</x:v>
      </x:c>
      <x:c r="X42" s="38"/>
      <x:c r="Y42" s="38"/>
      <x:c r="Z42" s="39"/>
      <x:c r="AA42" s="39" t="str">
        <x:f>IF(W42=FALSE,"Not explicitly reported in PDF",IF(AND(G42&gt;=X42,G42&lt;=Y42),"Within PDF value/range",IF(MIN(ABS(G42-X42),ABS(G42-Y42))&lt;=15,"Within 15 ms of PDF","Different from PDF")))</x:f>
        <x:v>Not explicitly reported in PDF</x:v>
      </x:c>
    </x:row>
    <x:row r="43">
      <x:c r="A43" s="20" t="str">
        <x:v>SI</x:v>
      </x:c>
      <x:c r="B43" s="20" t="str">
        <x:v>Substantia innominata</x:v>
      </x:c>
      <x:c r="C43" s="20" t="str">
        <x:v>Cerebral nuclei</x:v>
      </x:c>
      <x:c r="D43" s="24" t="n">
        <x:v>27</x:v>
      </x:c>
      <x:c r="E43" s="24" t="n">
        <x:v>256</x:v>
      </x:c>
      <x:c r="F43" s="25" t="n">
        <x:v>1.5103187571524497</x:v>
      </x:c>
      <x:c r="G43" s="25" t="n">
        <x:v>44.71187918708273</x:v>
      </x:c>
      <x:c r="H43" s="26" t="n">
        <x:v>0.0009990009990009</x:v>
      </x:c>
      <x:c r="I43" s="26" t="n">
        <x:v>0.0066433566433566</x:v>
      </x:c>
      <x:c r="J43" s="27" t="b">
        <x:v>1</x:v>
      </x:c>
      <x:c r="K43" s="27" t="b">
        <x:v>1</x:v>
      </x:c>
      <x:c r="L43" s="24" t="b">
        <x:f>AND(J43,K43)</x:f>
        <x:v>1</x:v>
      </x:c>
      <x:c r="M43" s="29" t="b">
        <x:v>1</x:v>
      </x:c>
      <x:c r="N43" s="30" t="n">
        <x:v>1</x:v>
      </x:c>
      <x:c r="O43" s="31" t="n">
        <x:v>-0.73</x:v>
      </x:c>
      <x:c r="P43" s="31" t="n">
        <x:v>85.1063829787234</x:v>
      </x:c>
      <x:c r="Q43" s="31" t="n">
        <x:v>0.1657834332898141</x:v>
      </x:c>
      <x:c r="R43" s="31" t="n">
        <x:v>0</x:v>
      </x:c>
      <x:c r="S43" s="33" t="n">
        <x:f>IF(OR(G43="",P43=""),"",G43-P43)</x:f>
        <x:v>-40.39450379164067</x:v>
      </x:c>
      <x:c r="T43" s="33" t="n">
        <x:f>IF(S43="","",ABS(S43))</x:f>
        <x:v>40.39450379164067</x:v>
      </x:c>
      <x:c r="U43" s="34" t="str">
        <x:f>IF(M43=FALSE,"Not analysed in paper",IF(K43=N43,"Significance agrees",IF(K43=TRUE,"User only","Paper only")))</x:f>
        <x:v>Significance agrees</x:v>
      </x:c>
      <x:c r="V43" s="34" t="str">
        <x:f>IF(M43=FALSE,"Not analysed in paper",IF(L43=FALSE,"User not reliable/significant",IF(N43=FALSE,"Paper not significant",IF(P43="","Exact paper latency unavailable",IF(T43&lt;=10,"Close (&lt;=10 ms)",IF(T43&lt;=20,"Similar (10-20 ms)","Different (&gt;20 ms)"))))))</x:f>
        <x:v>Different (&gt;20 ms)</x:v>
      </x:c>
      <x:c r="W43" s="37" t="b">
        <x:v>0</x:v>
      </x:c>
      <x:c r="X43" s="38"/>
      <x:c r="Y43" s="38"/>
      <x:c r="Z43" s="39"/>
      <x:c r="AA43" s="39" t="str">
        <x:f>IF(W43=FALSE,"Not explicitly reported in PDF",IF(AND(G43&gt;=X43,G43&lt;=Y43),"Within PDF value/range",IF(MIN(ABS(G43-X43),ABS(G43-Y43))&lt;=15,"Within 15 ms of PDF","Different from PDF")))</x:f>
        <x:v>Not explicitly reported in PDF</x:v>
      </x:c>
    </x:row>
    <x:row r="44">
      <x:c r="A44" s="20" t="str">
        <x:v>TRS</x:v>
      </x:c>
      <x:c r="B44" s="20" t="str">
        <x:v>Triangular nucleus of septum</x:v>
      </x:c>
      <x:c r="C44" s="20" t="str">
        <x:v>Cerebral nuclei</x:v>
      </x:c>
      <x:c r="D44" s="24" t="n">
        <x:v>7</x:v>
      </x:c>
      <x:c r="E44" s="24" t="n">
        <x:v>73</x:v>
      </x:c>
      <x:c r="F44" s="25" t="n">
        <x:v>1.231173263743158</x:v>
      </x:c>
      <x:c r="G44" s="25" t="n">
        <x:v>140.03100558799764</x:v>
      </x:c>
      <x:c r="H44" s="26" t="n">
        <x:v>0.3776223776223776</x:v>
      </x:c>
      <x:c r="I44" s="26" t="n">
        <x:v>0.525903415955772</x:v>
      </x:c>
      <x:c r="J44" s="27" t="b">
        <x:v>1</x:v>
      </x:c>
      <x:c r="K44" s="27" t="b">
        <x:v>0</x:v>
      </x:c>
      <x:c r="L44" s="24" t="b">
        <x:f>AND(J44,K44)</x:f>
        <x:v>0</x:v>
      </x:c>
      <x:c r="M44" s="29" t="b">
        <x:v>1</x:v>
      </x:c>
      <x:c r="N44" s="30" t="n">
        <x:v>0</x:v>
      </x:c>
      <x:c r="O44" s="31" t="n">
        <x:v>-0.98</x:v>
      </x:c>
      <x:c r="P44" s="31" t="n">
        <x:v>2.1276595744680002</x:v>
      </x:c>
      <x:c r="Q44" s="31" t="n">
        <x:v>0.1331135253761685</x:v>
      </x:c>
      <x:c r="R44" s="31" t="n">
        <x:v>0</x:v>
      </x:c>
      <x:c r="S44" s="33" t="n">
        <x:f>IF(OR(G44="",P44=""),"",G44-P44)</x:f>
        <x:v>137.90334601352964</x:v>
      </x:c>
      <x:c r="T44" s="33" t="n">
        <x:f>IF(S44="","",ABS(S44))</x:f>
        <x:v>137.90334601352964</x:v>
      </x:c>
      <x:c r="U44" s="34" t="str">
        <x:f>IF(M44=FALSE,"Not analysed in paper",IF(K44=N44,"Significance agrees",IF(K44=TRUE,"User only","Paper only")))</x:f>
        <x:v>Significance agrees</x:v>
      </x:c>
      <x:c r="V44" s="34" t="str">
        <x:f>IF(M44=FALSE,"Not analysed in paper",IF(L44=FALSE,"User not reliable/significant",IF(N44=FALSE,"Paper not significant",IF(P44="","Exact paper latency unavailable",IF(T44&lt;=10,"Close (&lt;=10 ms)",IF(T44&lt;=20,"Similar (10-20 ms)","Different (&gt;20 ms)"))))))</x:f>
        <x:v>User not reliable/significant</x:v>
      </x:c>
      <x:c r="W44" s="37" t="b">
        <x:v>0</x:v>
      </x:c>
      <x:c r="X44" s="38"/>
      <x:c r="Y44" s="38"/>
      <x:c r="Z44" s="39"/>
      <x:c r="AA44" s="39" t="str">
        <x:f>IF(W44=FALSE,"Not explicitly reported in PDF",IF(AND(G44&gt;=X44,G44&lt;=Y44),"Within PDF value/range",IF(MIN(ABS(G44-X44),ABS(G44-Y44))&lt;=15,"Within 15 ms of PDF","Different from PDF")))</x:f>
        <x:v>Not explicitly reported in PDF</x:v>
      </x:c>
    </x:row>
    <x:row r="45">
      <x:c r="A45" s="20" t="str">
        <x:v>BLA</x:v>
      </x:c>
      <x:c r="B45" s="20" t="str">
        <x:v>Basolateral amygdalar nucleus</x:v>
      </x:c>
      <x:c r="C45" s="20" t="str">
        <x:v>Cortical subplate</x:v>
      </x:c>
      <x:c r="D45" s="24" t="n">
        <x:v>13</x:v>
      </x:c>
      <x:c r="E45" s="24" t="n">
        <x:v>150</x:v>
      </x:c>
      <x:c r="F45" s="25" t="n">
        <x:v>0.9972801400047628</x:v>
      </x:c>
      <x:c r="G45" s="25" t="n">
        <x:v>89.8249605356277</x:v>
      </x:c>
      <x:c r="H45" s="26" t="n">
        <x:v>0.5524475524475524</x:v>
      </x:c>
      <x:c r="I45" s="26" t="n">
        <x:v>0.6834932509351113</x:v>
      </x:c>
      <x:c r="J45" s="27" t="b">
        <x:v>1</x:v>
      </x:c>
      <x:c r="K45" s="27" t="b">
        <x:v>0</x:v>
      </x:c>
      <x:c r="L45" s="24" t="b">
        <x:f>AND(J45,K45)</x:f>
        <x:v>0</x:v>
      </x:c>
      <x:c r="M45" s="29" t="b">
        <x:v>1</x:v>
      </x:c>
      <x:c r="N45" s="30" t="n">
        <x:v>0</x:v>
      </x:c>
      <x:c r="O45" s="31" t="n">
        <x:v>-0.92</x:v>
      </x:c>
      <x:c r="P45" s="31" t="n">
        <x:v>59.574468085106304</x:v>
      </x:c>
      <x:c r="Q45" s="31" t="n">
        <x:v>0.081587152625529</x:v>
      </x:c>
      <x:c r="R45" s="31" t="n">
        <x:v>0</x:v>
      </x:c>
      <x:c r="S45" s="33" t="n">
        <x:f>IF(OR(G45="",P45=""),"",G45-P45)</x:f>
        <x:v>30.250492450521392</x:v>
      </x:c>
      <x:c r="T45" s="33" t="n">
        <x:f>IF(S45="","",ABS(S45))</x:f>
        <x:v>30.250492450521392</x:v>
      </x:c>
      <x:c r="U45" s="34" t="str">
        <x:f>IF(M45=FALSE,"Not analysed in paper",IF(K45=N45,"Significance agrees",IF(K45=TRUE,"User only","Paper only")))</x:f>
        <x:v>Significance agrees</x:v>
      </x:c>
      <x:c r="V45" s="34" t="str">
        <x:f>IF(M45=FALSE,"Not analysed in paper",IF(L45=FALSE,"User not reliable/significant",IF(N45=FALSE,"Paper not significant",IF(P45="","Exact paper latency unavailable",IF(T45&lt;=10,"Close (&lt;=10 ms)",IF(T45&lt;=20,"Similar (10-20 ms)","Different (&gt;20 ms)"))))))</x:f>
        <x:v>User not reliable/significant</x:v>
      </x:c>
      <x:c r="W45" s="37" t="b">
        <x:v>0</x:v>
      </x:c>
      <x:c r="X45" s="38"/>
      <x:c r="Y45" s="38"/>
      <x:c r="Z45" s="39"/>
      <x:c r="AA45" s="39" t="str">
        <x:f>IF(W45=FALSE,"Not explicitly reported in PDF",IF(AND(G45&gt;=X45,G45&lt;=Y45),"Within PDF value/range",IF(MIN(ABS(G45-X45),ABS(G45-Y45))&lt;=15,"Within 15 ms of PDF","Different from PDF")))</x:f>
        <x:v>Not explicitly reported in PDF</x:v>
      </x:c>
    </x:row>
    <x:row r="46">
      <x:c r="A46" s="20" t="str">
        <x:v>BMA</x:v>
      </x:c>
      <x:c r="B46" s="20" t="str">
        <x:v>Basomedial amygdalar nucleus</x:v>
      </x:c>
      <x:c r="C46" s="20" t="str">
        <x:v>Cortical subplate</x:v>
      </x:c>
      <x:c r="D46" s="24" t="n">
        <x:v>13</x:v>
      </x:c>
      <x:c r="E46" s="24" t="n">
        <x:v>175</x:v>
      </x:c>
      <x:c r="F46" s="25" t="n">
        <x:v>0.543356061255253</x:v>
      </x:c>
      <x:c r="G46" s="25" t="n">
        <x:v>11.999999999999996</x:v>
      </x:c>
      <x:c r="H46" s="26" t="n">
        <x:v>0.7842157842157842</x:v>
      </x:c>
      <x:c r="I46" s="26" t="n">
        <x:v>0.8592800641980969</x:v>
      </x:c>
      <x:c r="J46" s="27" t="b">
        <x:v>1</x:v>
      </x:c>
      <x:c r="K46" s="27" t="b">
        <x:v>0</x:v>
      </x:c>
      <x:c r="L46" s="24" t="b">
        <x:f>AND(J46,K46)</x:f>
        <x:v>0</x:v>
      </x:c>
      <x:c r="M46" s="29" t="b">
        <x:v>1</x:v>
      </x:c>
      <x:c r="N46" s="30" t="n">
        <x:v>0</x:v>
      </x:c>
      <x:c r="O46" s="31" t="n">
        <x:v>-1.07</x:v>
      </x:c>
      <x:c r="P46" s="31" t="n">
        <x:v>63.829787234042506</x:v>
      </x:c>
      <x:c r="Q46" s="31" t="n">
        <x:v>0.087919315859867</x:v>
      </x:c>
      <x:c r="R46" s="31" t="n">
        <x:v>0</x:v>
      </x:c>
      <x:c r="S46" s="33" t="n">
        <x:f>IF(OR(G46="",P46=""),"",G46-P46)</x:f>
        <x:v>-51.82978723404251</x:v>
      </x:c>
      <x:c r="T46" s="33" t="n">
        <x:f>IF(S46="","",ABS(S46))</x:f>
        <x:v>51.82978723404251</x:v>
      </x:c>
      <x:c r="U46" s="34" t="str">
        <x:f>IF(M46=FALSE,"Not analysed in paper",IF(K46=N46,"Significance agrees",IF(K46=TRUE,"User only","Paper only")))</x:f>
        <x:v>Significance agrees</x:v>
      </x:c>
      <x:c r="V46" s="34" t="str">
        <x:f>IF(M46=FALSE,"Not analysed in paper",IF(L46=FALSE,"User not reliable/significant",IF(N46=FALSE,"Paper not significant",IF(P46="","Exact paper latency unavailable",IF(T46&lt;=10,"Close (&lt;=10 ms)",IF(T46&lt;=20,"Similar (10-20 ms)","Different (&gt;20 ms)"))))))</x:f>
        <x:v>User not reliable/significant</x:v>
      </x:c>
      <x:c r="W46" s="37" t="b">
        <x:v>0</x:v>
      </x:c>
      <x:c r="X46" s="38"/>
      <x:c r="Y46" s="38"/>
      <x:c r="Z46" s="39"/>
      <x:c r="AA46" s="39" t="str">
        <x:f>IF(W46=FALSE,"Not explicitly reported in PDF",IF(AND(G46&gt;=X46,G46&lt;=Y46),"Within PDF value/range",IF(MIN(ABS(G46-X46),ABS(G46-Y46))&lt;=15,"Within 15 ms of PDF","Different from PDF")))</x:f>
        <x:v>Not explicitly reported in PDF</x:v>
      </x:c>
    </x:row>
    <x:row r="47">
      <x:c r="A47" s="20" t="str">
        <x:v>CLA</x:v>
      </x:c>
      <x:c r="B47" s="20" t="str">
        <x:v>Claustrum</x:v>
      </x:c>
      <x:c r="C47" s="20" t="str">
        <x:v>Cortical subplate</x:v>
      </x:c>
      <x:c r="D47" s="24" t="n">
        <x:v>4</x:v>
      </x:c>
      <x:c r="E47" s="24" t="n">
        <x:v>49</x:v>
      </x:c>
      <x:c r="F47" s="25" t="n">
        <x:v>2.9949402157454976</x:v>
      </x:c>
      <x:c r="G47" s="25" t="n">
        <x:v>114.19196699938436</x:v>
      </x:c>
      <x:c r="H47" s="26" t="n">
        <x:v>0.939060939060939</x:v>
      </x:c>
      <x:c r="I47" s="26" t="n">
        <x:v>0.9681791077139914</x:v>
      </x:c>
      <x:c r="J47" s="27" t="b">
        <x:v>1</x:v>
      </x:c>
      <x:c r="K47" s="27" t="b">
        <x:v>0</x:v>
      </x:c>
      <x:c r="L47" s="24" t="b">
        <x:f>AND(J47,K47)</x:f>
        <x:v>0</x:v>
      </x:c>
      <x:c r="M47" s="29" t="b">
        <x:v>1</x:v>
      </x:c>
      <x:c r="N47" s="30" t="n">
        <x:v>1</x:v>
      </x:c>
      <x:c r="O47" s="31" t="n">
        <x:v>-0.69</x:v>
      </x:c>
      <x:c r="P47" s="31"/>
      <x:c r="Q47" s="31"/>
      <x:c r="R47" s="31"/>
      <x:c r="S47" s="33" t="str">
        <x:f>IF(OR(G47="",P47=""),"",G47-P47)</x:f>
      </x:c>
      <x:c r="T47" s="33" t="str">
        <x:f>IF(S47="","",ABS(S47))</x:f>
      </x:c>
      <x:c r="U47" s="34" t="str">
        <x:f>IF(M47=FALSE,"Not analysed in paper",IF(K47=N47,"Significance agrees",IF(K47=TRUE,"User only","Paper only")))</x:f>
        <x:v>Paper only</x:v>
      </x:c>
      <x:c r="V47" s="34" t="str">
        <x:f>IF(M47=FALSE,"Not analysed in paper",IF(L47=FALSE,"User not reliable/significant",IF(N47=FALSE,"Paper not significant",IF(P47="","Exact paper latency unavailable",IF(T47&lt;=10,"Close (&lt;=10 ms)",IF(T47&lt;=20,"Similar (10-20 ms)","Different (&gt;20 ms)"))))))</x:f>
        <x:v>User not reliable/significant</x:v>
      </x:c>
      <x:c r="W47" s="37" t="b">
        <x:v>0</x:v>
      </x:c>
      <x:c r="X47" s="38"/>
      <x:c r="Y47" s="38"/>
      <x:c r="Z47" s="39"/>
      <x:c r="AA47" s="39" t="str">
        <x:f>IF(W47=FALSE,"Not explicitly reported in PDF",IF(AND(G47&gt;=X47,G47&lt;=Y47),"Within PDF value/range",IF(MIN(ABS(G47-X47),ABS(G47-Y47))&lt;=15,"Within 15 ms of PDF","Different from PDF")))</x:f>
        <x:v>Not explicitly reported in PDF</x:v>
      </x:c>
    </x:row>
    <x:row r="48">
      <x:c r="A48" s="20" t="str">
        <x:v>EPd</x:v>
      </x:c>
      <x:c r="B48" s="20" t="str">
        <x:v>Endopiriform nucleus dorsal part</x:v>
      </x:c>
      <x:c r="C48" s="20" t="str">
        <x:v>Cortical subplate</x:v>
      </x:c>
      <x:c r="D48" s="24" t="n">
        <x:v>12</x:v>
      </x:c>
      <x:c r="E48" s="24" t="n">
        <x:v>199</x:v>
      </x:c>
      <x:c r="F48" s="25" t="n">
        <x:v>0.8238074833066422</x:v>
      </x:c>
      <x:c r="G48" s="25" t="n">
        <x:v>122.02568445344328</x:v>
      </x:c>
      <x:c r="H48" s="26" t="n">
        <x:v>0.0569430569430569</x:v>
      </x:c>
      <x:c r="I48" s="26" t="n">
        <x:v>0.1272844802256567</x:v>
      </x:c>
      <x:c r="J48" s="27" t="b">
        <x:v>1</x:v>
      </x:c>
      <x:c r="K48" s="27" t="b">
        <x:v>0</x:v>
      </x:c>
      <x:c r="L48" s="24" t="b">
        <x:f>AND(J48,K48)</x:f>
        <x:v>0</x:v>
      </x:c>
      <x:c r="M48" s="29" t="b">
        <x:v>1</x:v>
      </x:c>
      <x:c r="N48" s="30" t="n">
        <x:v>0</x:v>
      </x:c>
      <x:c r="O48" s="31" t="n">
        <x:v>-1.14</x:v>
      </x:c>
      <x:c r="P48" s="31" t="n">
        <x:v>93.6170212765957</x:v>
      </x:c>
      <x:c r="Q48" s="31" t="n">
        <x:v>0.0695797255768466</x:v>
      </x:c>
      <x:c r="R48" s="31" t="n">
        <x:v>0</x:v>
      </x:c>
      <x:c r="S48" s="33" t="n">
        <x:f>IF(OR(G48="",P48=""),"",G48-P48)</x:f>
        <x:v>28.408663176847583</x:v>
      </x:c>
      <x:c r="T48" s="33" t="n">
        <x:f>IF(S48="","",ABS(S48))</x:f>
        <x:v>28.408663176847583</x:v>
      </x:c>
      <x:c r="U48" s="34" t="str">
        <x:f>IF(M48=FALSE,"Not analysed in paper",IF(K48=N48,"Significance agrees",IF(K48=TRUE,"User only","Paper only")))</x:f>
        <x:v>Significance agrees</x:v>
      </x:c>
      <x:c r="V48" s="34" t="str">
        <x:f>IF(M48=FALSE,"Not analysed in paper",IF(L48=FALSE,"User not reliable/significant",IF(N48=FALSE,"Paper not significant",IF(P48="","Exact paper latency unavailable",IF(T48&lt;=10,"Close (&lt;=10 ms)",IF(T48&lt;=20,"Similar (10-20 ms)","Different (&gt;20 ms)"))))))</x:f>
        <x:v>User not reliable/significant</x:v>
      </x:c>
      <x:c r="W48" s="37" t="b">
        <x:v>0</x:v>
      </x:c>
      <x:c r="X48" s="38"/>
      <x:c r="Y48" s="38"/>
      <x:c r="Z48" s="39"/>
      <x:c r="AA48" s="39" t="str">
        <x:f>IF(W48=FALSE,"Not explicitly reported in PDF",IF(AND(G48&gt;=X48,G48&lt;=Y48),"Within PDF value/range",IF(MIN(ABS(G48-X48),ABS(G48-Y48))&lt;=15,"Within 15 ms of PDF","Different from PDF")))</x:f>
        <x:v>Not explicitly reported in PDF</x:v>
      </x:c>
    </x:row>
    <x:row r="49">
      <x:c r="A49" s="20" t="str">
        <x:v>EPv</x:v>
      </x:c>
      <x:c r="B49" s="20" t="str">
        <x:v>Endopiriform nucleus ventral part</x:v>
      </x:c>
      <x:c r="C49" s="20" t="str">
        <x:v>Cortical subplate</x:v>
      </x:c>
      <x:c r="D49" s="24" t="n">
        <x:v>12</x:v>
      </x:c>
      <x:c r="E49" s="24" t="n">
        <x:v>124</x:v>
      </x:c>
      <x:c r="F49" s="25" t="n">
        <x:v>0.6156321022844806</x:v>
      </x:c>
      <x:c r="G49" s="25" t="n">
        <x:v>34.02898554802279</x:v>
      </x:c>
      <x:c r="H49" s="26" t="n">
        <x:v>0.6803196803196803</x:v>
      </x:c>
      <x:c r="I49" s="26" t="n">
        <x:v>0.7733548502779272</x:v>
      </x:c>
      <x:c r="J49" s="27" t="b">
        <x:v>1</x:v>
      </x:c>
      <x:c r="K49" s="27" t="b">
        <x:v>0</x:v>
      </x:c>
      <x:c r="L49" s="24" t="b">
        <x:f>AND(J49,K49)</x:f>
        <x:v>0</x:v>
      </x:c>
      <x:c r="M49" s="29" t="b">
        <x:v>1</x:v>
      </x:c>
      <x:c r="N49" s="30" t="n">
        <x:v>0</x:v>
      </x:c>
      <x:c r="O49" s="31" t="n">
        <x:v>-1.01</x:v>
      </x:c>
      <x:c r="P49" s="31" t="n">
        <x:v>19.1489361702127</x:v>
      </x:c>
      <x:c r="Q49" s="31" t="n">
        <x:v>0.1203833788943715</x:v>
      </x:c>
      <x:c r="R49" s="31" t="n">
        <x:v>0</x:v>
      </x:c>
      <x:c r="S49" s="33" t="n">
        <x:f>IF(OR(G49="",P49=""),"",G49-P49)</x:f>
        <x:v>14.880049377810089</x:v>
      </x:c>
      <x:c r="T49" s="33" t="n">
        <x:f>IF(S49="","",ABS(S49))</x:f>
        <x:v>14.880049377810089</x:v>
      </x:c>
      <x:c r="U49" s="34" t="str">
        <x:f>IF(M49=FALSE,"Not analysed in paper",IF(K49=N49,"Significance agrees",IF(K49=TRUE,"User only","Paper only")))</x:f>
        <x:v>Significance agrees</x:v>
      </x:c>
      <x:c r="V49" s="34" t="str">
        <x:f>IF(M49=FALSE,"Not analysed in paper",IF(L49=FALSE,"User not reliable/significant",IF(N49=FALSE,"Paper not significant",IF(P49="","Exact paper latency unavailable",IF(T49&lt;=10,"Close (&lt;=10 ms)",IF(T49&lt;=20,"Similar (10-20 ms)","Different (&gt;20 ms)"))))))</x:f>
        <x:v>User not reliable/significant</x:v>
      </x:c>
      <x:c r="W49" s="37" t="b">
        <x:v>0</x:v>
      </x:c>
      <x:c r="X49" s="38"/>
      <x:c r="Y49" s="38"/>
      <x:c r="Z49" s="39"/>
      <x:c r="AA49" s="39" t="str">
        <x:f>IF(W49=FALSE,"Not explicitly reported in PDF",IF(AND(G49&gt;=X49,G49&lt;=Y49),"Within PDF value/range",IF(MIN(ABS(G49-X49),ABS(G49-Y49))&lt;=15,"Within 15 ms of PDF","Different from PDF")))</x:f>
        <x:v>Not explicitly reported in PDF</x:v>
      </x:c>
    </x:row>
    <x:row r="50">
      <x:c r="A50" s="20" t="str">
        <x:v>LA</x:v>
      </x:c>
      <x:c r="B50" s="20" t="str">
        <x:v>Lateral amygdalar nucleus</x:v>
      </x:c>
      <x:c r="C50" s="20" t="str">
        <x:v>Cortical subplate</x:v>
      </x:c>
      <x:c r="D50" s="24" t="n">
        <x:v>8</x:v>
      </x:c>
      <x:c r="E50" s="24" t="n">
        <x:v>63</x:v>
      </x:c>
      <x:c r="F50" s="25" t="n">
        <x:v>1.34345681617735</x:v>
      </x:c>
      <x:c r="G50" s="25" t="n">
        <x:v>65.35194775331887</x:v>
      </x:c>
      <x:c r="H50" s="26" t="n">
        <x:v>0.2337662337662337</x:v>
      </x:c>
      <x:c r="I50" s="26" t="n">
        <x:v>0.3854787188120521</x:v>
      </x:c>
      <x:c r="J50" s="27" t="b">
        <x:v>1</x:v>
      </x:c>
      <x:c r="K50" s="27" t="b">
        <x:v>0</x:v>
      </x:c>
      <x:c r="L50" s="24" t="b">
        <x:f>AND(J50,K50)</x:f>
        <x:v>0</x:v>
      </x:c>
      <x:c r="M50" s="29" t="b">
        <x:v>1</x:v>
      </x:c>
      <x:c r="N50" s="30" t="n">
        <x:v>0</x:v>
      </x:c>
      <x:c r="O50" s="31" t="n">
        <x:v>-0.86</x:v>
      </x:c>
      <x:c r="P50" s="31" t="n">
        <x:v>38.2978723404255</x:v>
      </x:c>
      <x:c r="Q50" s="31" t="n">
        <x:v>0.1349705970710508</x:v>
      </x:c>
      <x:c r="R50" s="31" t="n">
        <x:v>0</x:v>
      </x:c>
      <x:c r="S50" s="33" t="n">
        <x:f>IF(OR(G50="",P50=""),"",G50-P50)</x:f>
        <x:v>27.05407541289337</x:v>
      </x:c>
      <x:c r="T50" s="33" t="n">
        <x:f>IF(S50="","",ABS(S50))</x:f>
        <x:v>27.05407541289337</x:v>
      </x:c>
      <x:c r="U50" s="34" t="str">
        <x:f>IF(M50=FALSE,"Not analysed in paper",IF(K50=N50,"Significance agrees",IF(K50=TRUE,"User only","Paper only")))</x:f>
        <x:v>Significance agrees</x:v>
      </x:c>
      <x:c r="V50" s="34" t="str">
        <x:f>IF(M50=FALSE,"Not analysed in paper",IF(L50=FALSE,"User not reliable/significant",IF(N50=FALSE,"Paper not significant",IF(P50="","Exact paper latency unavailable",IF(T50&lt;=10,"Close (&lt;=10 ms)",IF(T50&lt;=20,"Similar (10-20 ms)","Different (&gt;20 ms)"))))))</x:f>
        <x:v>User not reliable/significant</x:v>
      </x:c>
      <x:c r="W50" s="37" t="b">
        <x:v>0</x:v>
      </x:c>
      <x:c r="X50" s="38"/>
      <x:c r="Y50" s="38"/>
      <x:c r="Z50" s="39"/>
      <x:c r="AA50" s="39" t="str">
        <x:f>IF(W50=FALSE,"Not explicitly reported in PDF",IF(AND(G50&gt;=X50,G50&lt;=Y50),"Within PDF value/range",IF(MIN(ABS(G50-X50),ABS(G50-Y50))&lt;=15,"Within 15 ms of PDF","Different from PDF")))</x:f>
        <x:v>Not explicitly reported in PDF</x:v>
      </x:c>
    </x:row>
    <x:row r="51">
      <x:c r="A51" s="20" t="str">
        <x:v>PA</x:v>
      </x:c>
      <x:c r="B51" s="20" t="str">
        <x:v>Posterior amygdalar nucleus</x:v>
      </x:c>
      <x:c r="C51" s="20" t="str">
        <x:v>Cortical subplate</x:v>
      </x:c>
      <x:c r="D51" s="24" t="n">
        <x:v>12</x:v>
      </x:c>
      <x:c r="E51" s="24" t="n">
        <x:v>113</x:v>
      </x:c>
      <x:c r="F51" s="25" t="n">
        <x:v>0.732120041642889</x:v>
      </x:c>
      <x:c r="G51" s="25" t="n">
        <x:v>15.583392253820936</x:v>
      </x:c>
      <x:c r="H51" s="26" t="n">
        <x:v>0.8991008991008991</x:v>
      </x:c>
      <x:c r="I51" s="26" t="n">
        <x:v>0.9399698340874812</x:v>
      </x:c>
      <x:c r="J51" s="27" t="b">
        <x:v>1</x:v>
      </x:c>
      <x:c r="K51" s="27" t="b">
        <x:v>0</x:v>
      </x:c>
      <x:c r="L51" s="24" t="b">
        <x:f>AND(J51,K51)</x:f>
        <x:v>0</x:v>
      </x:c>
      <x:c r="M51" s="29" t="b">
        <x:v>1</x:v>
      </x:c>
      <x:c r="N51" s="30" t="n">
        <x:v>0</x:v>
      </x:c>
      <x:c r="O51" s="31" t="n">
        <x:v>-0.95</x:v>
      </x:c>
      <x:c r="P51" s="31" t="n">
        <x:v>14.8936170212765</x:v>
      </x:c>
      <x:c r="Q51" s="31" t="n">
        <x:v>0.1281157450176698</x:v>
      </x:c>
      <x:c r="R51" s="31" t="n">
        <x:v>0</x:v>
      </x:c>
      <x:c r="S51" s="33" t="n">
        <x:f>IF(OR(G51="",P51=""),"",G51-P51)</x:f>
        <x:v>0.6897752325444362</x:v>
      </x:c>
      <x:c r="T51" s="33" t="n">
        <x:f>IF(S51="","",ABS(S51))</x:f>
        <x:v>0.6897752325444362</x:v>
      </x:c>
      <x:c r="U51" s="34" t="str">
        <x:f>IF(M51=FALSE,"Not analysed in paper",IF(K51=N51,"Significance agrees",IF(K51=TRUE,"User only","Paper only")))</x:f>
        <x:v>Significance agrees</x:v>
      </x:c>
      <x:c r="V51" s="34" t="str">
        <x:f>IF(M51=FALSE,"Not analysed in paper",IF(L51=FALSE,"User not reliable/significant",IF(N51=FALSE,"Paper not significant",IF(P51="","Exact paper latency unavailable",IF(T51&lt;=10,"Close (&lt;=10 ms)",IF(T51&lt;=20,"Similar (10-20 ms)","Different (&gt;20 ms)"))))))</x:f>
        <x:v>User not reliable/significant</x:v>
      </x:c>
      <x:c r="W51" s="37" t="b">
        <x:v>0</x:v>
      </x:c>
      <x:c r="X51" s="38"/>
      <x:c r="Y51" s="38"/>
      <x:c r="Z51" s="39"/>
      <x:c r="AA51" s="39" t="str">
        <x:f>IF(W51=FALSE,"Not explicitly reported in PDF",IF(AND(G51&gt;=X51,G51&lt;=Y51),"Within PDF value/range",IF(MIN(ABS(G51-X51),ABS(G51-Y51))&lt;=15,"Within 15 ms of PDF","Different from PDF")))</x:f>
        <x:v>Not explicitly reported in PDF</x:v>
      </x:c>
    </x:row>
    <x:row r="52">
      <x:c r="A52" s="20" t="str">
        <x:v>AMB</x:v>
      </x:c>
      <x:c r="B52" s="20" t="str">
        <x:v>Nucleus ambiguus</x:v>
      </x:c>
      <x:c r="C52" s="20" t="str">
        <x:v>Hindbrain</x:v>
      </x:c>
      <x:c r="D52" s="24" t="n">
        <x:v>2</x:v>
      </x:c>
      <x:c r="E52" s="24" t="n">
        <x:v>8</x:v>
      </x:c>
      <x:c r="F52" s="25" t="n">
        <x:v>5.149925696470638</x:v>
      </x:c>
      <x:c r="G52" s="25" t="n">
        <x:v>119.76033997502986</x:v>
      </x:c>
      <x:c r="H52" s="26" t="n">
        <x:v>0.3526473526473526</x:v>
      </x:c>
      <x:c r="I52" s="26" t="n">
        <x:v>0.5043236333558914</x:v>
      </x:c>
      <x:c r="J52" s="27" t="b">
        <x:v>0</x:v>
      </x:c>
      <x:c r="K52" s="27" t="b">
        <x:v>0</x:v>
      </x:c>
      <x:c r="L52" s="24" t="b">
        <x:f>AND(J52,K52)</x:f>
        <x:v>0</x:v>
      </x:c>
      <x:c r="M52" s="29" t="b">
        <x:v>0</x:v>
      </x:c>
      <x:c r="N52" s="30"/>
      <x:c r="O52" s="31"/>
      <x:c r="P52" s="31"/>
      <x:c r="Q52" s="31"/>
      <x:c r="R52" s="31"/>
      <x:c r="S52" s="33" t="str">
        <x:f>IF(OR(G52="",P52=""),"",G52-P52)</x:f>
      </x:c>
      <x:c r="T52" s="33" t="str">
        <x:f>IF(S52="","",ABS(S52))</x:f>
      </x:c>
      <x:c r="U52" s="34" t="str">
        <x:f>IF(M52=FALSE,"Not analysed in paper",IF(K52=N52,"Significance agrees",IF(K52=TRUE,"User only","Paper only")))</x:f>
        <x:v>Not analysed in paper</x:v>
      </x:c>
      <x:c r="V52" s="34" t="str">
        <x:f>IF(M52=FALSE,"Not analysed in paper",IF(L52=FALSE,"User not reliable/significant",IF(N52=FALSE,"Paper not significant",IF(P52="","Exact paper latency unavailable",IF(T52&lt;=10,"Close (&lt;=10 ms)",IF(T52&lt;=20,"Similar (10-20 ms)","Different (&gt;20 ms)"))))))</x:f>
        <x:v>Not analysed in paper</x:v>
      </x:c>
      <x:c r="W52" s="37" t="b">
        <x:v>0</x:v>
      </x:c>
      <x:c r="X52" s="38"/>
      <x:c r="Y52" s="38"/>
      <x:c r="Z52" s="39"/>
      <x:c r="AA52" s="39" t="str">
        <x:f>IF(W52=FALSE,"Not explicitly reported in PDF",IF(AND(G52&gt;=X52,G52&lt;=Y52),"Within PDF value/range",IF(MIN(ABS(G52-X52),ABS(G52-Y52))&lt;=15,"Within 15 ms of PDF","Different from PDF")))</x:f>
        <x:v>Not explicitly reported in PDF</x:v>
      </x:c>
    </x:row>
    <x:row r="53">
      <x:c r="A53" s="20" t="str">
        <x:v>AP</x:v>
      </x:c>
      <x:c r="B53" s="20" t="str">
        <x:v>Area postrema</x:v>
      </x:c>
      <x:c r="C53" s="20" t="str">
        <x:v>Hindbrain</x:v>
      </x:c>
      <x:c r="D53" s="24" t="n">
        <x:v>1</x:v>
      </x:c>
      <x:c r="E53" s="24" t="n">
        <x:v>3</x:v>
      </x:c>
      <x:c r="F53" s="25" t="n">
        <x:v>5.423620333616574</x:v>
      </x:c>
      <x:c r="G53" s="25" t="n">
        <x:v>33.76934554589608</x:v>
      </x:c>
      <x:c r="H53" s="26" t="n">
        <x:v>0.6793206793206793</x:v>
      </x:c>
      <x:c r="I53" s="26" t="n">
        <x:v>0.7733548502779272</x:v>
      </x:c>
      <x:c r="J53" s="27" t="b">
        <x:v>0</x:v>
      </x:c>
      <x:c r="K53" s="27" t="b">
        <x:v>0</x:v>
      </x:c>
      <x:c r="L53" s="24" t="b">
        <x:f>AND(J53,K53)</x:f>
        <x:v>0</x:v>
      </x:c>
      <x:c r="M53" s="29" t="b">
        <x:v>0</x:v>
      </x:c>
      <x:c r="N53" s="30"/>
      <x:c r="O53" s="31"/>
      <x:c r="P53" s="31"/>
      <x:c r="Q53" s="31"/>
      <x:c r="R53" s="31"/>
      <x:c r="S53" s="33" t="str">
        <x:f>IF(OR(G53="",P53=""),"",G53-P53)</x:f>
      </x:c>
      <x:c r="T53" s="33" t="str">
        <x:f>IF(S53="","",ABS(S53))</x:f>
      </x:c>
      <x:c r="U53" s="34" t="str">
        <x:f>IF(M53=FALSE,"Not analysed in paper",IF(K53=N53,"Significance agrees",IF(K53=TRUE,"User only","Paper only")))</x:f>
        <x:v>Not analysed in paper</x:v>
      </x:c>
      <x:c r="V53" s="34" t="str">
        <x:f>IF(M53=FALSE,"Not analysed in paper",IF(L53=FALSE,"User not reliable/significant",IF(N53=FALSE,"Paper not significant",IF(P53="","Exact paper latency unavailable",IF(T53&lt;=10,"Close (&lt;=10 ms)",IF(T53&lt;=20,"Similar (10-20 ms)","Different (&gt;20 ms)"))))))</x:f>
        <x:v>Not analysed in paper</x:v>
      </x:c>
      <x:c r="W53" s="37" t="b">
        <x:v>0</x:v>
      </x:c>
      <x:c r="X53" s="38"/>
      <x:c r="Y53" s="38"/>
      <x:c r="Z53" s="39"/>
      <x:c r="AA53" s="39" t="str">
        <x:f>IF(W53=FALSE,"Not explicitly reported in PDF",IF(AND(G53&gt;=X53,G53&lt;=Y53),"Within PDF value/range",IF(MIN(ABS(G53-X53),ABS(G53-Y53))&lt;=15,"Within 15 ms of PDF","Different from PDF")))</x:f>
        <x:v>Not explicitly reported in PDF</x:v>
      </x:c>
    </x:row>
    <x:row r="54">
      <x:c r="A54" s="20" t="str">
        <x:v>CS</x:v>
      </x:c>
      <x:c r="B54" s="20" t="str">
        <x:v>Superior central nucleus raphe</x:v>
      </x:c>
      <x:c r="C54" s="20" t="str">
        <x:v>Hindbrain</x:v>
      </x:c>
      <x:c r="D54" s="24" t="n">
        <x:v>10</x:v>
      </x:c>
      <x:c r="E54" s="24" t="n">
        <x:v>391</x:v>
      </x:c>
      <x:c r="F54" s="25" t="n">
        <x:v>2.884217694955064</x:v>
      </x:c>
      <x:c r="G54" s="25" t="n">
        <x:v>110.98933907667003</x:v>
      </x:c>
      <x:c r="H54" s="26" t="n">
        <x:v>0.0039960039960039</x:v>
      </x:c>
      <x:c r="I54" s="26" t="n">
        <x:v>0.0189810189810189</x:v>
      </x:c>
      <x:c r="J54" s="27" t="b">
        <x:v>1</x:v>
      </x:c>
      <x:c r="K54" s="27" t="b">
        <x:v>0</x:v>
      </x:c>
      <x:c r="L54" s="24" t="b">
        <x:f>AND(J54,K54)</x:f>
        <x:v>0</x:v>
      </x:c>
      <x:c r="M54" s="29" t="b">
        <x:v>1</x:v>
      </x:c>
      <x:c r="N54" s="30" t="n">
        <x:v>1</x:v>
      </x:c>
      <x:c r="O54" s="31" t="n">
        <x:v>-0.6</x:v>
      </x:c>
      <x:c r="P54" s="31" t="n">
        <x:v>6.3829787234042</x:v>
      </x:c>
      <x:c r="Q54" s="31" t="n">
        <x:v>0.4565302651232558</x:v>
      </x:c>
      <x:c r="R54" s="31" t="n">
        <x:v>1</x:v>
      </x:c>
      <x:c r="S54" s="33" t="n">
        <x:f>IF(OR(G54="",P54=""),"",G54-P54)</x:f>
        <x:v>104.60636035326584</x:v>
      </x:c>
      <x:c r="T54" s="33" t="n">
        <x:f>IF(S54="","",ABS(S54))</x:f>
        <x:v>104.60636035326584</x:v>
      </x:c>
      <x:c r="U54" s="34" t="str">
        <x:f>IF(M54=FALSE,"Not analysed in paper",IF(K54=N54,"Significance agrees",IF(K54=TRUE,"User only","Paper only")))</x:f>
        <x:v>Paper only</x:v>
      </x:c>
      <x:c r="V54" s="34" t="str">
        <x:f>IF(M54=FALSE,"Not analysed in paper",IF(L54=FALSE,"User not reliable/significant",IF(N54=FALSE,"Paper not significant",IF(P54="","Exact paper latency unavailable",IF(T54&lt;=10,"Close (&lt;=10 ms)",IF(T54&lt;=20,"Similar (10-20 ms)","Different (&gt;20 ms)"))))))</x:f>
        <x:v>User not reliable/significant</x:v>
      </x:c>
      <x:c r="W54" s="37" t="b">
        <x:v>0</x:v>
      </x:c>
      <x:c r="X54" s="38"/>
      <x:c r="Y54" s="38"/>
      <x:c r="Z54" s="39"/>
      <x:c r="AA54" s="39" t="str">
        <x:f>IF(W54=FALSE,"Not explicitly reported in PDF",IF(AND(G54&gt;=X54,G54&lt;=Y54),"Within PDF value/range",IF(MIN(ABS(G54-X54),ABS(G54-Y54))&lt;=15,"Within 15 ms of PDF","Different from PDF")))</x:f>
        <x:v>Not explicitly reported in PDF</x:v>
      </x:c>
    </x:row>
    <x:row r="55">
      <x:c r="A55" s="20" t="str">
        <x:v>CU</x:v>
      </x:c>
      <x:c r="B55" s="20" t="str">
        <x:v>Cuneate nucleus</x:v>
      </x:c>
      <x:c r="C55" s="20" t="str">
        <x:v>Hindbrain</x:v>
      </x:c>
      <x:c r="D55" s="24" t="n">
        <x:v>4</x:v>
      </x:c>
      <x:c r="E55" s="24" t="n">
        <x:v>24</x:v>
      </x:c>
      <x:c r="F55" s="25" t="n">
        <x:v>1.7966743394214468</x:v>
      </x:c>
      <x:c r="G55" s="25" t="n">
        <x:v>14.293024365800814</x:v>
      </x:c>
      <x:c r="H55" s="26" t="n">
        <x:v>0.5794205794205795</x:v>
      </x:c>
      <x:c r="I55" s="26" t="n">
        <x:v>0.7002457002457002</x:v>
      </x:c>
      <x:c r="J55" s="27" t="b">
        <x:v>1</x:v>
      </x:c>
      <x:c r="K55" s="27" t="b">
        <x:v>0</x:v>
      </x:c>
      <x:c r="L55" s="24" t="b">
        <x:f>AND(J55,K55)</x:f>
        <x:v>0</x:v>
      </x:c>
      <x:c r="M55" s="29" t="b">
        <x:v>1</x:v>
      </x:c>
      <x:c r="N55" s="30" t="n">
        <x:v>0</x:v>
      </x:c>
      <x:c r="O55" s="31" t="n">
        <x:v>-0.56</x:v>
      </x:c>
      <x:c r="P55" s="31"/>
      <x:c r="Q55" s="31"/>
      <x:c r="R55" s="31"/>
      <x:c r="S55" s="33" t="str">
        <x:f>IF(OR(G55="",P55=""),"",G55-P55)</x:f>
      </x:c>
      <x:c r="T55" s="33" t="str">
        <x:f>IF(S55="","",ABS(S55))</x:f>
      </x:c>
      <x:c r="U55" s="34" t="str">
        <x:f>IF(M55=FALSE,"Not analysed in paper",IF(K55=N55,"Significance agrees",IF(K55=TRUE,"User only","Paper only")))</x:f>
        <x:v>Significance agrees</x:v>
      </x:c>
      <x:c r="V55" s="34" t="str">
        <x:f>IF(M55=FALSE,"Not analysed in paper",IF(L55=FALSE,"User not reliable/significant",IF(N55=FALSE,"Paper not significant",IF(P55="","Exact paper latency unavailable",IF(T55&lt;=10,"Close (&lt;=10 ms)",IF(T55&lt;=20,"Similar (10-20 ms)","Different (&gt;20 ms)"))))))</x:f>
        <x:v>User not reliable/significant</x:v>
      </x:c>
      <x:c r="W55" s="37" t="b">
        <x:v>0</x:v>
      </x:c>
      <x:c r="X55" s="38"/>
      <x:c r="Y55" s="38"/>
      <x:c r="Z55" s="39"/>
      <x:c r="AA55" s="39" t="str">
        <x:f>IF(W55=FALSE,"Not explicitly reported in PDF",IF(AND(G55&gt;=X55,G55&lt;=Y55),"Within PDF value/range",IF(MIN(ABS(G55-X55),ABS(G55-Y55))&lt;=15,"Within 15 ms of PDF","Different from PDF")))</x:f>
        <x:v>Not explicitly reported in PDF</x:v>
      </x:c>
    </x:row>
    <x:row r="56">
      <x:c r="A56" s="20" t="str">
        <x:v>DCO</x:v>
      </x:c>
      <x:c r="B56" s="20" t="str">
        <x:v>Dorsal cochlear nucleus</x:v>
      </x:c>
      <x:c r="C56" s="20" t="str">
        <x:v>Hindbrain</x:v>
      </x:c>
      <x:c r="D56" s="24" t="n">
        <x:v>13</x:v>
      </x:c>
      <x:c r="E56" s="24" t="n">
        <x:v>312</x:v>
      </x:c>
      <x:c r="F56" s="25" t="n">
        <x:v>3.447351058374524</x:v>
      </x:c>
      <x:c r="G56" s="25" t="n">
        <x:v>110.96283746629506</x:v>
      </x:c>
      <x:c r="H56" s="26" t="n">
        <x:v>0.2027972027972027</x:v>
      </x:c>
      <x:c r="I56" s="26" t="n">
        <x:v>0.3452852879604472</x:v>
      </x:c>
      <x:c r="J56" s="27" t="b">
        <x:v>1</x:v>
      </x:c>
      <x:c r="K56" s="27" t="b">
        <x:v>0</x:v>
      </x:c>
      <x:c r="L56" s="24" t="b">
        <x:f>AND(J56,K56)</x:f>
        <x:v>0</x:v>
      </x:c>
      <x:c r="M56" s="29" t="b">
        <x:v>1</x:v>
      </x:c>
      <x:c r="N56" s="30" t="n">
        <x:v>0</x:v>
      </x:c>
      <x:c r="O56" s="31" t="n">
        <x:v>-0.71</x:v>
      </x:c>
      <x:c r="P56" s="31" t="n">
        <x:v>93.6170212765957</x:v>
      </x:c>
      <x:c r="Q56" s="31" t="n">
        <x:v>0.4293775010486466</x:v>
      </x:c>
      <x:c r="R56" s="31" t="n">
        <x:v>1</x:v>
      </x:c>
      <x:c r="S56" s="33" t="n">
        <x:f>IF(OR(G56="",P56=""),"",G56-P56)</x:f>
        <x:v>17.345816189699363</x:v>
      </x:c>
      <x:c r="T56" s="33" t="n">
        <x:f>IF(S56="","",ABS(S56))</x:f>
        <x:v>17.345816189699363</x:v>
      </x:c>
      <x:c r="U56" s="34" t="str">
        <x:f>IF(M56=FALSE,"Not analysed in paper",IF(K56=N56,"Significance agrees",IF(K56=TRUE,"User only","Paper only")))</x:f>
        <x:v>Significance agrees</x:v>
      </x:c>
      <x:c r="V56" s="34" t="str">
        <x:f>IF(M56=FALSE,"Not analysed in paper",IF(L56=FALSE,"User not reliable/significant",IF(N56=FALSE,"Paper not significant",IF(P56="","Exact paper latency unavailable",IF(T56&lt;=10,"Close (&lt;=10 ms)",IF(T56&lt;=20,"Similar (10-20 ms)","Different (&gt;20 ms)"))))))</x:f>
        <x:v>User not reliable/significant</x:v>
      </x:c>
      <x:c r="W56" s="37" t="b">
        <x:v>0</x:v>
      </x:c>
      <x:c r="X56" s="38"/>
      <x:c r="Y56" s="38"/>
      <x:c r="Z56" s="39"/>
      <x:c r="AA56" s="39" t="str">
        <x:f>IF(W56=FALSE,"Not explicitly reported in PDF",IF(AND(G56&gt;=X56,G56&lt;=Y56),"Within PDF value/range",IF(MIN(ABS(G56-X56),ABS(G56-Y56))&lt;=15,"Within 15 ms of PDF","Different from PDF")))</x:f>
        <x:v>Not explicitly reported in PDF</x:v>
      </x:c>
    </x:row>
    <x:row r="57">
      <x:c r="A57" s="20" t="str">
        <x:v>DMX</x:v>
      </x:c>
      <x:c r="B57" s="20" t="str">
        <x:v>Dorsal motor nucleus of the vagus nerve</x:v>
      </x:c>
      <x:c r="C57" s="20" t="str">
        <x:v>Hindbrain</x:v>
      </x:c>
      <x:c r="D57" s="24" t="n">
        <x:v>1</x:v>
      </x:c>
      <x:c r="E57" s="24" t="n">
        <x:v>2</x:v>
      </x:c>
      <x:c r="F57" s="25" t="n">
        <x:v>3.2542648116829653</x:v>
      </x:c>
      <x:c r="G57" s="25" t="n">
        <x:v>81.6376924586029</x:v>
      </x:c>
      <x:c r="H57" s="26" t="n">
        <x:v>0.5494505494505495</x:v>
      </x:c>
      <x:c r="I57" s="26" t="n">
        <x:v>0.6829618979151689</x:v>
      </x:c>
      <x:c r="J57" s="27" t="b">
        <x:v>0</x:v>
      </x:c>
      <x:c r="K57" s="27" t="b">
        <x:v>0</x:v>
      </x:c>
      <x:c r="L57" s="24" t="b">
        <x:f>AND(J57,K57)</x:f>
        <x:v>0</x:v>
      </x:c>
      <x:c r="M57" s="29" t="b">
        <x:v>0</x:v>
      </x:c>
      <x:c r="N57" s="30"/>
      <x:c r="O57" s="31"/>
      <x:c r="P57" s="31"/>
      <x:c r="Q57" s="31"/>
      <x:c r="R57" s="31"/>
      <x:c r="S57" s="33" t="str">
        <x:f>IF(OR(G57="",P57=""),"",G57-P57)</x:f>
      </x:c>
      <x:c r="T57" s="33" t="str">
        <x:f>IF(S57="","",ABS(S57))</x:f>
      </x:c>
      <x:c r="U57" s="34" t="str">
        <x:f>IF(M57=FALSE,"Not analysed in paper",IF(K57=N57,"Significance agrees",IF(K57=TRUE,"User only","Paper only")))</x:f>
        <x:v>Not analysed in paper</x:v>
      </x:c>
      <x:c r="V57" s="34" t="str">
        <x:f>IF(M57=FALSE,"Not analysed in paper",IF(L57=FALSE,"User not reliable/significant",IF(N57=FALSE,"Paper not significant",IF(P57="","Exact paper latency unavailable",IF(T57&lt;=10,"Close (&lt;=10 ms)",IF(T57&lt;=20,"Similar (10-20 ms)","Different (&gt;20 ms)"))))))</x:f>
        <x:v>Not analysed in paper</x:v>
      </x:c>
      <x:c r="W57" s="37" t="b">
        <x:v>0</x:v>
      </x:c>
      <x:c r="X57" s="38"/>
      <x:c r="Y57" s="38"/>
      <x:c r="Z57" s="39"/>
      <x:c r="AA57" s="39" t="str">
        <x:f>IF(W57=FALSE,"Not explicitly reported in PDF",IF(AND(G57&gt;=X57,G57&lt;=Y57),"Within PDF value/range",IF(MIN(ABS(G57-X57),ABS(G57-Y57))&lt;=15,"Within 15 ms of PDF","Different from PDF")))</x:f>
        <x:v>Not explicitly reported in PDF</x:v>
      </x:c>
    </x:row>
    <x:row r="58">
      <x:c r="A58" s="20" t="str">
        <x:v>DTN</x:v>
      </x:c>
      <x:c r="B58" s="20" t="str">
        <x:v>Dorsal tegmental nucleus</x:v>
      </x:c>
      <x:c r="C58" s="20" t="str">
        <x:v>Hindbrain</x:v>
      </x:c>
      <x:c r="D58" s="24" t="n">
        <x:v>2</x:v>
      </x:c>
      <x:c r="E58" s="24" t="n">
        <x:v>21</x:v>
      </x:c>
      <x:c r="F58" s="25" t="n">
        <x:v>2.9239143218744013</x:v>
      </x:c>
      <x:c r="G58" s="25" t="n">
        <x:v>11.99457895284036</x:v>
      </x:c>
      <x:c r="H58" s="26" t="n">
        <x:v>0.4905094905094905</x:v>
      </x:c>
      <x:c r="I58" s="26" t="n">
        <x:v>0.6333763324054587</x:v>
      </x:c>
      <x:c r="J58" s="27" t="b">
        <x:v>1</x:v>
      </x:c>
      <x:c r="K58" s="27" t="b">
        <x:v>0</x:v>
      </x:c>
      <x:c r="L58" s="24" t="b">
        <x:f>AND(J58,K58)</x:f>
        <x:v>0</x:v>
      </x:c>
      <x:c r="M58" s="29" t="b">
        <x:v>0</x:v>
      </x:c>
      <x:c r="N58" s="30"/>
      <x:c r="O58" s="31"/>
      <x:c r="P58" s="31"/>
      <x:c r="Q58" s="31"/>
      <x:c r="R58" s="31"/>
      <x:c r="S58" s="33" t="str">
        <x:f>IF(OR(G58="",P58=""),"",G58-P58)</x:f>
      </x:c>
      <x:c r="T58" s="33" t="str">
        <x:f>IF(S58="","",ABS(S58))</x:f>
      </x:c>
      <x:c r="U58" s="34" t="str">
        <x:f>IF(M58=FALSE,"Not analysed in paper",IF(K58=N58,"Significance agrees",IF(K58=TRUE,"User only","Paper only")))</x:f>
        <x:v>Not analysed in paper</x:v>
      </x:c>
      <x:c r="V58" s="34" t="str">
        <x:f>IF(M58=FALSE,"Not analysed in paper",IF(L58=FALSE,"User not reliable/significant",IF(N58=FALSE,"Paper not significant",IF(P58="","Exact paper latency unavailable",IF(T58&lt;=10,"Close (&lt;=10 ms)",IF(T58&lt;=20,"Similar (10-20 ms)","Different (&gt;20 ms)"))))))</x:f>
        <x:v>Not analysed in paper</x:v>
      </x:c>
      <x:c r="W58" s="37" t="b">
        <x:v>0</x:v>
      </x:c>
      <x:c r="X58" s="38"/>
      <x:c r="Y58" s="38"/>
      <x:c r="Z58" s="39"/>
      <x:c r="AA58" s="39" t="str">
        <x:f>IF(W58=FALSE,"Not explicitly reported in PDF",IF(AND(G58&gt;=X58,G58&lt;=Y58),"Within PDF value/range",IF(MIN(ABS(G58-X58),ABS(G58-Y58))&lt;=15,"Within 15 ms of PDF","Different from PDF")))</x:f>
        <x:v>Not explicitly reported in PDF</x:v>
      </x:c>
    </x:row>
    <x:row r="59">
      <x:c r="A59" s="20" t="str">
        <x:v>ECU</x:v>
      </x:c>
      <x:c r="B59" s="20" t="str">
        <x:v>External cuneate nucleus</x:v>
      </x:c>
      <x:c r="C59" s="20" t="str">
        <x:v>Hindbrain</x:v>
      </x:c>
      <x:c r="D59" s="24" t="n">
        <x:v>4</x:v>
      </x:c>
      <x:c r="E59" s="24" t="n">
        <x:v>21</x:v>
      </x:c>
      <x:c r="F59" s="25" t="n">
        <x:v>3.835990820922068</x:v>
      </x:c>
      <x:c r="G59" s="25" t="n">
        <x:v>113.52276337706289</x:v>
      </x:c>
      <x:c r="H59" s="26" t="n">
        <x:v>0.956043956043956</x:v>
      </x:c>
      <x:c r="I59" s="26" t="n">
        <x:v>0.9814049586776858</x:v>
      </x:c>
      <x:c r="J59" s="27" t="b">
        <x:v>1</x:v>
      </x:c>
      <x:c r="K59" s="27" t="b">
        <x:v>0</x:v>
      </x:c>
      <x:c r="L59" s="24" t="b">
        <x:f>AND(J59,K59)</x:f>
        <x:v>0</x:v>
      </x:c>
      <x:c r="M59" s="29" t="b">
        <x:v>0</x:v>
      </x:c>
      <x:c r="N59" s="30"/>
      <x:c r="O59" s="31"/>
      <x:c r="P59" s="31"/>
      <x:c r="Q59" s="31"/>
      <x:c r="R59" s="31"/>
      <x:c r="S59" s="33" t="str">
        <x:f>IF(OR(G59="",P59=""),"",G59-P59)</x:f>
      </x:c>
      <x:c r="T59" s="33" t="str">
        <x:f>IF(S59="","",ABS(S59))</x:f>
      </x:c>
      <x:c r="U59" s="34" t="str">
        <x:f>IF(M59=FALSE,"Not analysed in paper",IF(K59=N59,"Significance agrees",IF(K59=TRUE,"User only","Paper only")))</x:f>
        <x:v>Not analysed in paper</x:v>
      </x:c>
      <x:c r="V59" s="34" t="str">
        <x:f>IF(M59=FALSE,"Not analysed in paper",IF(L59=FALSE,"User not reliable/significant",IF(N59=FALSE,"Paper not significant",IF(P59="","Exact paper latency unavailable",IF(T59&lt;=10,"Close (&lt;=10 ms)",IF(T59&lt;=20,"Similar (10-20 ms)","Different (&gt;20 ms)"))))))</x:f>
        <x:v>Not analysed in paper</x:v>
      </x:c>
      <x:c r="W59" s="37" t="b">
        <x:v>0</x:v>
      </x:c>
      <x:c r="X59" s="38"/>
      <x:c r="Y59" s="38"/>
      <x:c r="Z59" s="39"/>
      <x:c r="AA59" s="39" t="str">
        <x:f>IF(W59=FALSE,"Not explicitly reported in PDF",IF(AND(G59&gt;=X59,G59&lt;=Y59),"Within PDF value/range",IF(MIN(ABS(G59-X59),ABS(G59-Y59))&lt;=15,"Within 15 ms of PDF","Different from PDF")))</x:f>
        <x:v>Not explicitly reported in PDF</x:v>
      </x:c>
    </x:row>
    <x:row r="60">
      <x:c r="A60" s="20" t="str">
        <x:v>GR</x:v>
      </x:c>
      <x:c r="B60" s="20" t="str">
        <x:v>Gracile nucleus</x:v>
      </x:c>
      <x:c r="C60" s="20" t="str">
        <x:v>Hindbrain</x:v>
      </x:c>
      <x:c r="D60" s="24" t="n">
        <x:v>1</x:v>
      </x:c>
      <x:c r="E60" s="24" t="n">
        <x:v>9</x:v>
      </x:c>
      <x:c r="F60" s="25" t="n">
        <x:v>3.6395569046712457</x:v>
      </x:c>
      <x:c r="G60" s="25" t="n">
        <x:v>17.68912750905098</x:v>
      </x:c>
      <x:c r="H60" s="26" t="n">
        <x:v>0.5074925074925075</x:v>
      </x:c>
      <x:c r="I60" s="26" t="n">
        <x:v>0.6490048413125336</x:v>
      </x:c>
      <x:c r="J60" s="27" t="b">
        <x:v>0</x:v>
      </x:c>
      <x:c r="K60" s="27" t="b">
        <x:v>0</x:v>
      </x:c>
      <x:c r="L60" s="24" t="b">
        <x:f>AND(J60,K60)</x:f>
        <x:v>0</x:v>
      </x:c>
      <x:c r="M60" s="29" t="b">
        <x:v>0</x:v>
      </x:c>
      <x:c r="N60" s="30"/>
      <x:c r="O60" s="31"/>
      <x:c r="P60" s="31"/>
      <x:c r="Q60" s="31"/>
      <x:c r="R60" s="31"/>
      <x:c r="S60" s="33" t="str">
        <x:f>IF(OR(G60="",P60=""),"",G60-P60)</x:f>
      </x:c>
      <x:c r="T60" s="33" t="str">
        <x:f>IF(S60="","",ABS(S60))</x:f>
      </x:c>
      <x:c r="U60" s="34" t="str">
        <x:f>IF(M60=FALSE,"Not analysed in paper",IF(K60=N60,"Significance agrees",IF(K60=TRUE,"User only","Paper only")))</x:f>
        <x:v>Not analysed in paper</x:v>
      </x:c>
      <x:c r="V60" s="34" t="str">
        <x:f>IF(M60=FALSE,"Not analysed in paper",IF(L60=FALSE,"User not reliable/significant",IF(N60=FALSE,"Paper not significant",IF(P60="","Exact paper latency unavailable",IF(T60&lt;=10,"Close (&lt;=10 ms)",IF(T60&lt;=20,"Similar (10-20 ms)","Different (&gt;20 ms)"))))))</x:f>
        <x:v>Not analysed in paper</x:v>
      </x:c>
      <x:c r="W60" s="37" t="b">
        <x:v>0</x:v>
      </x:c>
      <x:c r="X60" s="38"/>
      <x:c r="Y60" s="38"/>
      <x:c r="Z60" s="39"/>
      <x:c r="AA60" s="39" t="str">
        <x:f>IF(W60=FALSE,"Not explicitly reported in PDF",IF(AND(G60&gt;=X60,G60&lt;=Y60),"Within PDF value/range",IF(MIN(ABS(G60-X60),ABS(G60-Y60))&lt;=15,"Within 15 ms of PDF","Different from PDF")))</x:f>
        <x:v>Not explicitly reported in PDF</x:v>
      </x:c>
    </x:row>
    <x:row r="61">
      <x:c r="A61" s="20" t="str">
        <x:v>GRN</x:v>
      </x:c>
      <x:c r="B61" s="20" t="str">
        <x:v>Gigantocellular reticular nucleus</x:v>
      </x:c>
      <x:c r="C61" s="20" t="str">
        <x:v>Hindbrain</x:v>
      </x:c>
      <x:c r="D61" s="24" t="n">
        <x:v>17</x:v>
      </x:c>
      <x:c r="E61" s="24" t="n">
        <x:v>560</x:v>
      </x:c>
      <x:c r="F61" s="25" t="n">
        <x:v>13.706352955515916</x:v>
      </x:c>
      <x:c r="G61" s="25" t="n">
        <x:v>109.00560645062268</x:v>
      </x:c>
      <x:c r="H61" s="26" t="n">
        <x:v>0.0009990009990009</x:v>
      </x:c>
      <x:c r="I61" s="26" t="n">
        <x:v>0.0066433566433566</x:v>
      </x:c>
      <x:c r="J61" s="27" t="b">
        <x:v>1</x:v>
      </x:c>
      <x:c r="K61" s="27" t="b">
        <x:v>1</x:v>
      </x:c>
      <x:c r="L61" s="24" t="b">
        <x:f>AND(J61,K61)</x:f>
        <x:v>1</x:v>
      </x:c>
      <x:c r="M61" s="29" t="b">
        <x:v>1</x:v>
      </x:c>
      <x:c r="N61" s="30" t="n">
        <x:v>1</x:v>
      </x:c>
      <x:c r="O61" s="31" t="n">
        <x:v>0</x:v>
      </x:c>
      <x:c r="P61" s="31" t="n">
        <x:v>89.3617021276595</x:v>
      </x:c>
      <x:c r="Q61" s="31" t="n">
        <x:v>1.253260899714055</x:v>
      </x:c>
      <x:c r="R61" s="31" t="n">
        <x:v>1</x:v>
      </x:c>
      <x:c r="S61" s="33" t="n">
        <x:f>IF(OR(G61="",P61=""),"",G61-P61)</x:f>
        <x:v>19.64390432296318</x:v>
      </x:c>
      <x:c r="T61" s="33" t="n">
        <x:f>IF(S61="","",ABS(S61))</x:f>
        <x:v>19.64390432296318</x:v>
      </x:c>
      <x:c r="U61" s="34" t="str">
        <x:f>IF(M61=FALSE,"Not analysed in paper",IF(K61=N61,"Significance agrees",IF(K61=TRUE,"User only","Paper only")))</x:f>
        <x:v>Significance agrees</x:v>
      </x:c>
      <x:c r="V61" s="34" t="str">
        <x:f>IF(M61=FALSE,"Not analysed in paper",IF(L61=FALSE,"User not reliable/significant",IF(N61=FALSE,"Paper not significant",IF(P61="","Exact paper latency unavailable",IF(T61&lt;=10,"Close (&lt;=10 ms)",IF(T61&lt;=20,"Similar (10-20 ms)","Different (&gt;20 ms)"))))))</x:f>
        <x:v>Similar (10-20 ms)</x:v>
      </x:c>
      <x:c r="W61" s="37" t="b">
        <x:v>1</x:v>
      </x:c>
      <x:c r="X61" s="38" t="n">
        <x:v>100</x:v>
      </x:c>
      <x:c r="Y61" s="38" t="n">
        <x:v>120</x:v>
      </x:c>
      <x:c r="Z61" s="39" t="str">
        <x:v>approximately 100-120 ms</x:v>
      </x:c>
      <x:c r="AA61" s="39" t="str">
        <x:f>IF(W61=FALSE,"Not explicitly reported in PDF",IF(AND(G61&gt;=X61,G61&lt;=Y61),"Within PDF value/range",IF(MIN(ABS(G61-X61),ABS(G61-Y61))&lt;=15,"Within 15 ms of PDF","Different from PDF")))</x:f>
        <x:v>Within PDF value/range</x:v>
      </x:c>
    </x:row>
    <x:row r="62">
      <x:c r="A62" s="20" t="str">
        <x:v>I5</x:v>
      </x:c>
      <x:c r="B62" s="20" t="str">
        <x:v>Intertrigeminal nucleus</x:v>
      </x:c>
      <x:c r="C62" s="20" t="str">
        <x:v>Hindbrain</x:v>
      </x:c>
      <x:c r="D62" s="24" t="n">
        <x:v>4</x:v>
      </x:c>
      <x:c r="E62" s="24" t="n">
        <x:v>42</x:v>
      </x:c>
      <x:c r="F62" s="25" t="n">
        <x:v>3.464782129522643</x:v>
      </x:c>
      <x:c r="G62" s="25" t="n">
        <x:v>93.53117141531716</x:v>
      </x:c>
      <x:c r="H62" s="26" t="n">
        <x:v>0.2397602397602397</x:v>
      </x:c>
      <x:c r="I62" s="26" t="n">
        <x:v>0.3888794132696572</x:v>
      </x:c>
      <x:c r="J62" s="27" t="b">
        <x:v>1</x:v>
      </x:c>
      <x:c r="K62" s="27" t="b">
        <x:v>0</x:v>
      </x:c>
      <x:c r="L62" s="24" t="b">
        <x:f>AND(J62,K62)</x:f>
        <x:v>0</x:v>
      </x:c>
      <x:c r="M62" s="29" t="b">
        <x:v>1</x:v>
      </x:c>
      <x:c r="N62" s="30" t="n">
        <x:v>0</x:v>
      </x:c>
      <x:c r="O62" s="31" t="n">
        <x:v>-0.56</x:v>
      </x:c>
      <x:c r="P62" s="31"/>
      <x:c r="Q62" s="31"/>
      <x:c r="R62" s="31"/>
      <x:c r="S62" s="33" t="str">
        <x:f>IF(OR(G62="",P62=""),"",G62-P62)</x:f>
      </x:c>
      <x:c r="T62" s="33" t="str">
        <x:f>IF(S62="","",ABS(S62))</x:f>
      </x:c>
      <x:c r="U62" s="34" t="str">
        <x:f>IF(M62=FALSE,"Not analysed in paper",IF(K62=N62,"Significance agrees",IF(K62=TRUE,"User only","Paper only")))</x:f>
        <x:v>Significance agrees</x:v>
      </x:c>
      <x:c r="V62" s="34" t="str">
        <x:f>IF(M62=FALSE,"Not analysed in paper",IF(L62=FALSE,"User not reliable/significant",IF(N62=FALSE,"Paper not significant",IF(P62="","Exact paper latency unavailable",IF(T62&lt;=10,"Close (&lt;=10 ms)",IF(T62&lt;=20,"Similar (10-20 ms)","Different (&gt;20 ms)"))))))</x:f>
        <x:v>User not reliable/significant</x:v>
      </x:c>
      <x:c r="W62" s="37" t="b">
        <x:v>0</x:v>
      </x:c>
      <x:c r="X62" s="38"/>
      <x:c r="Y62" s="38"/>
      <x:c r="Z62" s="39"/>
      <x:c r="AA62" s="39" t="str">
        <x:f>IF(W62=FALSE,"Not explicitly reported in PDF",IF(AND(G62&gt;=X62,G62&lt;=Y62),"Within PDF value/range",IF(MIN(ABS(G62-X62),ABS(G62-Y62))&lt;=15,"Within 15 ms of PDF","Different from PDF")))</x:f>
        <x:v>Not explicitly reported in PDF</x:v>
      </x:c>
    </x:row>
    <x:row r="63">
      <x:c r="A63" s="20" t="str">
        <x:v>ICB</x:v>
      </x:c>
      <x:c r="B63" s="20" t="str">
        <x:v>Infracerebellar nucleus</x:v>
      </x:c>
      <x:c r="C63" s="20" t="str">
        <x:v>Hindbrain</x:v>
      </x:c>
      <x:c r="D63" s="24" t="n">
        <x:v>8</x:v>
      </x:c>
      <x:c r="E63" s="24" t="n">
        <x:v>65</x:v>
      </x:c>
      <x:c r="F63" s="25" t="n">
        <x:v>1.8390800716011588</x:v>
      </x:c>
      <x:c r="G63" s="25" t="n">
        <x:v>24.652069471848908</x:v>
      </x:c>
      <x:c r="H63" s="26" t="n">
        <x:v>0.7882117882117882</x:v>
      </x:c>
      <x:c r="I63" s="26" t="n">
        <x:v>0.8592800641980969</x:v>
      </x:c>
      <x:c r="J63" s="27" t="b">
        <x:v>1</x:v>
      </x:c>
      <x:c r="K63" s="27" t="b">
        <x:v>0</x:v>
      </x:c>
      <x:c r="L63" s="24" t="b">
        <x:f>AND(J63,K63)</x:f>
        <x:v>0</x:v>
      </x:c>
      <x:c r="M63" s="29" t="b">
        <x:v>1</x:v>
      </x:c>
      <x:c r="N63" s="30" t="n">
        <x:v>0</x:v>
      </x:c>
      <x:c r="O63" s="31" t="n">
        <x:v>-0.39</x:v>
      </x:c>
      <x:c r="P63" s="31"/>
      <x:c r="Q63" s="31"/>
      <x:c r="R63" s="31"/>
      <x:c r="S63" s="33" t="str">
        <x:f>IF(OR(G63="",P63=""),"",G63-P63)</x:f>
      </x:c>
      <x:c r="T63" s="33" t="str">
        <x:f>IF(S63="","",ABS(S63))</x:f>
      </x:c>
      <x:c r="U63" s="34" t="str">
        <x:f>IF(M63=FALSE,"Not analysed in paper",IF(K63=N63,"Significance agrees",IF(K63=TRUE,"User only","Paper only")))</x:f>
        <x:v>Significance agrees</x:v>
      </x:c>
      <x:c r="V63" s="34" t="str">
        <x:f>IF(M63=FALSE,"Not analysed in paper",IF(L63=FALSE,"User not reliable/significant",IF(N63=FALSE,"Paper not significant",IF(P63="","Exact paper latency unavailable",IF(T63&lt;=10,"Close (&lt;=10 ms)",IF(T63&lt;=20,"Similar (10-20 ms)","Different (&gt;20 ms)"))))))</x:f>
        <x:v>User not reliable/significant</x:v>
      </x:c>
      <x:c r="W63" s="37" t="b">
        <x:v>0</x:v>
      </x:c>
      <x:c r="X63" s="38"/>
      <x:c r="Y63" s="38"/>
      <x:c r="Z63" s="39"/>
      <x:c r="AA63" s="39" t="str">
        <x:f>IF(W63=FALSE,"Not explicitly reported in PDF",IF(AND(G63&gt;=X63,G63&lt;=Y63),"Within PDF value/range",IF(MIN(ABS(G63-X63),ABS(G63-Y63))&lt;=15,"Within 15 ms of PDF","Different from PDF")))</x:f>
        <x:v>Not explicitly reported in PDF</x:v>
      </x:c>
    </x:row>
    <x:row r="64">
      <x:c r="A64" s="20" t="str">
        <x:v>IO</x:v>
      </x:c>
      <x:c r="B64" s="20" t="str">
        <x:v>Inferior olivary complex</x:v>
      </x:c>
      <x:c r="C64" s="20" t="str">
        <x:v>Hindbrain</x:v>
      </x:c>
      <x:c r="D64" s="24" t="n">
        <x:v>1</x:v>
      </x:c>
      <x:c r="E64" s="24" t="n">
        <x:v>2</x:v>
      </x:c>
      <x:c r="F64" s="25" t="n">
        <x:v>9.381888537174357</x:v>
      </x:c>
      <x:c r="G64" s="25" t="n">
        <x:v>93.12400827710856</x:v>
      </x:c>
      <x:c r="H64" s="26" t="n">
        <x:v>0.3506493506493506</x:v>
      </x:c>
      <x:c r="I64" s="26" t="n">
        <x:v>0.5041769041769042</x:v>
      </x:c>
      <x:c r="J64" s="27" t="b">
        <x:v>0</x:v>
      </x:c>
      <x:c r="K64" s="27" t="b">
        <x:v>0</x:v>
      </x:c>
      <x:c r="L64" s="24" t="b">
        <x:f>AND(J64,K64)</x:f>
        <x:v>0</x:v>
      </x:c>
      <x:c r="M64" s="29" t="b">
        <x:v>0</x:v>
      </x:c>
      <x:c r="N64" s="30"/>
      <x:c r="O64" s="31"/>
      <x:c r="P64" s="31"/>
      <x:c r="Q64" s="31"/>
      <x:c r="R64" s="31"/>
      <x:c r="S64" s="33" t="str">
        <x:f>IF(OR(G64="",P64=""),"",G64-P64)</x:f>
      </x:c>
      <x:c r="T64" s="33" t="str">
        <x:f>IF(S64="","",ABS(S64))</x:f>
      </x:c>
      <x:c r="U64" s="34" t="str">
        <x:f>IF(M64=FALSE,"Not analysed in paper",IF(K64=N64,"Significance agrees",IF(K64=TRUE,"User only","Paper only")))</x:f>
        <x:v>Not analysed in paper</x:v>
      </x:c>
      <x:c r="V64" s="34" t="str">
        <x:f>IF(M64=FALSE,"Not analysed in paper",IF(L64=FALSE,"User not reliable/significant",IF(N64=FALSE,"Paper not significant",IF(P64="","Exact paper latency unavailable",IF(T64&lt;=10,"Close (&lt;=10 ms)",IF(T64&lt;=20,"Similar (10-20 ms)","Different (&gt;20 ms)"))))))</x:f>
        <x:v>Not analysed in paper</x:v>
      </x:c>
      <x:c r="W64" s="37" t="b">
        <x:v>0</x:v>
      </x:c>
      <x:c r="X64" s="38"/>
      <x:c r="Y64" s="38"/>
      <x:c r="Z64" s="39"/>
      <x:c r="AA64" s="39" t="str">
        <x:f>IF(W64=FALSE,"Not explicitly reported in PDF",IF(AND(G64&gt;=X64,G64&lt;=Y64),"Within PDF value/range",IF(MIN(ABS(G64-X64),ABS(G64-Y64))&lt;=15,"Within 15 ms of PDF","Different from PDF")))</x:f>
        <x:v>Not explicitly reported in PDF</x:v>
      </x:c>
    </x:row>
    <x:row r="65">
      <x:c r="A65" s="20" t="str">
        <x:v>IRN</x:v>
      </x:c>
      <x:c r="B65" s="20" t="str">
        <x:v>Intermediate reticular nucleus</x:v>
      </x:c>
      <x:c r="C65" s="20" t="str">
        <x:v>Hindbrain</x:v>
      </x:c>
      <x:c r="D65" s="24" t="n">
        <x:v>31</x:v>
      </x:c>
      <x:c r="E65" s="24" t="n">
        <x:v>744</x:v>
      </x:c>
      <x:c r="F65" s="25" t="n">
        <x:v>8.837107284941812</x:v>
      </x:c>
      <x:c r="G65" s="25" t="n">
        <x:v>119.17715310777434</x:v>
      </x:c>
      <x:c r="H65" s="26" t="n">
        <x:v>0.0009990009990009</x:v>
      </x:c>
      <x:c r="I65" s="26" t="n">
        <x:v>0.0066433566433566</x:v>
      </x:c>
      <x:c r="J65" s="27" t="b">
        <x:v>1</x:v>
      </x:c>
      <x:c r="K65" s="27" t="b">
        <x:v>1</x:v>
      </x:c>
      <x:c r="L65" s="24" t="b">
        <x:f>AND(J65,K65)</x:f>
        <x:v>1</x:v>
      </x:c>
      <x:c r="M65" s="29" t="b">
        <x:v>1</x:v>
      </x:c>
      <x:c r="N65" s="30" t="n">
        <x:v>1</x:v>
      </x:c>
      <x:c r="O65" s="31" t="n">
        <x:v>-0.28</x:v>
      </x:c>
      <x:c r="P65" s="31" t="n">
        <x:v>89.3617021276595</x:v>
      </x:c>
      <x:c r="Q65" s="31" t="n">
        <x:v>0.8507131206370009</x:v>
      </x:c>
      <x:c r="R65" s="31" t="n">
        <x:v>1</x:v>
      </x:c>
      <x:c r="S65" s="33" t="n">
        <x:f>IF(OR(G65="",P65=""),"",G65-P65)</x:f>
        <x:v>29.815450980114846</x:v>
      </x:c>
      <x:c r="T65" s="33" t="n">
        <x:f>IF(S65="","",ABS(S65))</x:f>
        <x:v>29.815450980114846</x:v>
      </x:c>
      <x:c r="U65" s="34" t="str">
        <x:f>IF(M65=FALSE,"Not analysed in paper",IF(K65=N65,"Significance agrees",IF(K65=TRUE,"User only","Paper only")))</x:f>
        <x:v>Significance agrees</x:v>
      </x:c>
      <x:c r="V65" s="34" t="str">
        <x:f>IF(M65=FALSE,"Not analysed in paper",IF(L65=FALSE,"User not reliable/significant",IF(N65=FALSE,"Paper not significant",IF(P65="","Exact paper latency unavailable",IF(T65&lt;=10,"Close (&lt;=10 ms)",IF(T65&lt;=20,"Similar (10-20 ms)","Different (&gt;20 ms)"))))))</x:f>
        <x:v>Different (&gt;20 ms)</x:v>
      </x:c>
      <x:c r="W65" s="37" t="b">
        <x:v>1</x:v>
      </x:c>
      <x:c r="X65" s="38" t="n">
        <x:v>100</x:v>
      </x:c>
      <x:c r="Y65" s="38" t="n">
        <x:v>120</x:v>
      </x:c>
      <x:c r="Z65" s="39" t="str">
        <x:v>approximately 100-120 ms</x:v>
      </x:c>
      <x:c r="AA65" s="39" t="str">
        <x:f>IF(W65=FALSE,"Not explicitly reported in PDF",IF(AND(G65&gt;=X65,G65&lt;=Y65),"Within PDF value/range",IF(MIN(ABS(G65-X65),ABS(G65-Y65))&lt;=15,"Within 15 ms of PDF","Different from PDF")))</x:f>
        <x:v>Within PDF value/range</x:v>
      </x:c>
    </x:row>
    <x:row r="66">
      <x:c r="A66" s="20" t="str">
        <x:v>ISN</x:v>
      </x:c>
      <x:c r="B66" s="20" t="str">
        <x:v>Inferior salivatory nucleus</x:v>
      </x:c>
      <x:c r="C66" s="20" t="str">
        <x:v>Hindbrain</x:v>
      </x:c>
      <x:c r="D66" s="24" t="n">
        <x:v>1</x:v>
      </x:c>
      <x:c r="E66" s="24" t="n">
        <x:v>4</x:v>
      </x:c>
      <x:c r="F66" s="25" t="n">
        <x:v>16.963210757134995</x:v>
      </x:c>
      <x:c r="G66" s="25" t="n">
        <x:v>110.99250123681198</x:v>
      </x:c>
      <x:c r="H66" s="26" t="n">
        <x:v>0.0259740259740259</x:v>
      </x:c>
      <x:c r="I66" s="26" t="n">
        <x:v>0.0719696969696969</x:v>
      </x:c>
      <x:c r="J66" s="27" t="b">
        <x:v>0</x:v>
      </x:c>
      <x:c r="K66" s="27" t="b">
        <x:v>0</x:v>
      </x:c>
      <x:c r="L66" s="24" t="b">
        <x:f>AND(J66,K66)</x:f>
        <x:v>0</x:v>
      </x:c>
      <x:c r="M66" s="29" t="b">
        <x:v>0</x:v>
      </x:c>
      <x:c r="N66" s="30"/>
      <x:c r="O66" s="31"/>
      <x:c r="P66" s="31"/>
      <x:c r="Q66" s="31"/>
      <x:c r="R66" s="31"/>
      <x:c r="S66" s="33" t="str">
        <x:f>IF(OR(G66="",P66=""),"",G66-P66)</x:f>
      </x:c>
      <x:c r="T66" s="33" t="str">
        <x:f>IF(S66="","",ABS(S66))</x:f>
      </x:c>
      <x:c r="U66" s="34" t="str">
        <x:f>IF(M66=FALSE,"Not analysed in paper",IF(K66=N66,"Significance agrees",IF(K66=TRUE,"User only","Paper only")))</x:f>
        <x:v>Not analysed in paper</x:v>
      </x:c>
      <x:c r="V66" s="34" t="str">
        <x:f>IF(M66=FALSE,"Not analysed in paper",IF(L66=FALSE,"User not reliable/significant",IF(N66=FALSE,"Paper not significant",IF(P66="","Exact paper latency unavailable",IF(T66&lt;=10,"Close (&lt;=10 ms)",IF(T66&lt;=20,"Similar (10-20 ms)","Different (&gt;20 ms)"))))))</x:f>
        <x:v>Not analysed in paper</x:v>
      </x:c>
      <x:c r="W66" s="37" t="b">
        <x:v>0</x:v>
      </x:c>
      <x:c r="X66" s="38"/>
      <x:c r="Y66" s="38"/>
      <x:c r="Z66" s="39"/>
      <x:c r="AA66" s="39" t="str">
        <x:f>IF(W66=FALSE,"Not explicitly reported in PDF",IF(AND(G66&gt;=X66,G66&lt;=Y66),"Within PDF value/range",IF(MIN(ABS(G66-X66),ABS(G66-Y66))&lt;=15,"Within 15 ms of PDF","Different from PDF")))</x:f>
        <x:v>Not explicitly reported in PDF</x:v>
      </x:c>
    </x:row>
    <x:row r="67">
      <x:c r="A67" s="20" t="str">
        <x:v>LAV</x:v>
      </x:c>
      <x:c r="B67" s="20" t="str">
        <x:v>Lateral vestibular nucleus</x:v>
      </x:c>
      <x:c r="C67" s="20" t="str">
        <x:v>Hindbrain</x:v>
      </x:c>
      <x:c r="D67" s="24" t="n">
        <x:v>11</x:v>
      </x:c>
      <x:c r="E67" s="24" t="n">
        <x:v>169</x:v>
      </x:c>
      <x:c r="F67" s="25" t="n">
        <x:v>6.09108025143964</x:v>
      </x:c>
      <x:c r="G67" s="25" t="n">
        <x:v>125.21314190435476</x:v>
      </x:c>
      <x:c r="H67" s="26" t="n">
        <x:v>0.0449550449550449</x:v>
      </x:c>
      <x:c r="I67" s="26" t="n">
        <x:v>0.1058233801596633</x:v>
      </x:c>
      <x:c r="J67" s="27" t="b">
        <x:v>1</x:v>
      </x:c>
      <x:c r="K67" s="27" t="b">
        <x:v>0</x:v>
      </x:c>
      <x:c r="L67" s="24" t="b">
        <x:f>AND(J67,K67)</x:f>
        <x:v>0</x:v>
      </x:c>
      <x:c r="M67" s="29" t="b">
        <x:v>1</x:v>
      </x:c>
      <x:c r="N67" s="30" t="n">
        <x:v>1</x:v>
      </x:c>
      <x:c r="O67" s="31" t="n">
        <x:v>-0.54</x:v>
      </x:c>
      <x:c r="P67" s="31"/>
      <x:c r="Q67" s="31"/>
      <x:c r="R67" s="31"/>
      <x:c r="S67" s="33" t="str">
        <x:f>IF(OR(G67="",P67=""),"",G67-P67)</x:f>
      </x:c>
      <x:c r="T67" s="33" t="str">
        <x:f>IF(S67="","",ABS(S67))</x:f>
      </x:c>
      <x:c r="U67" s="34" t="str">
        <x:f>IF(M67=FALSE,"Not analysed in paper",IF(K67=N67,"Significance agrees",IF(K67=TRUE,"User only","Paper only")))</x:f>
        <x:v>Paper only</x:v>
      </x:c>
      <x:c r="V67" s="34" t="str">
        <x:f>IF(M67=FALSE,"Not analysed in paper",IF(L67=FALSE,"User not reliable/significant",IF(N67=FALSE,"Paper not significant",IF(P67="","Exact paper latency unavailable",IF(T67&lt;=10,"Close (&lt;=10 ms)",IF(T67&lt;=20,"Similar (10-20 ms)","Different (&gt;20 ms)"))))))</x:f>
        <x:v>User not reliable/significant</x:v>
      </x:c>
      <x:c r="W67" s="37" t="b">
        <x:v>0</x:v>
      </x:c>
      <x:c r="X67" s="38"/>
      <x:c r="Y67" s="38"/>
      <x:c r="Z67" s="39"/>
      <x:c r="AA67" s="39" t="str">
        <x:f>IF(W67=FALSE,"Not explicitly reported in PDF",IF(AND(G67&gt;=X67,G67&lt;=Y67),"Within PDF value/range",IF(MIN(ABS(G67-X67),ABS(G67-Y67))&lt;=15,"Within 15 ms of PDF","Different from PDF")))</x:f>
        <x:v>Not explicitly reported in PDF</x:v>
      </x:c>
    </x:row>
    <x:row r="68">
      <x:c r="A68" s="20" t="str">
        <x:v>LDT</x:v>
      </x:c>
      <x:c r="B68" s="20" t="str">
        <x:v>Laterodorsal tegmental nucleus</x:v>
      </x:c>
      <x:c r="C68" s="20" t="str">
        <x:v>Hindbrain</x:v>
      </x:c>
      <x:c r="D68" s="24" t="n">
        <x:v>2</x:v>
      </x:c>
      <x:c r="E68" s="24" t="n">
        <x:v>51</x:v>
      </x:c>
      <x:c r="F68" s="25" t="n">
        <x:v>2.9837001808793233</x:v>
      </x:c>
      <x:c r="G68" s="25" t="n">
        <x:v>92.95047366858786</x:v>
      </x:c>
      <x:c r="H68" s="26" t="n">
        <x:v>0.0139860139860139</x:v>
      </x:c>
      <x:c r="I68" s="26" t="n">
        <x:v>0.0483153210425937</x:v>
      </x:c>
      <x:c r="J68" s="27" t="b">
        <x:v>1</x:v>
      </x:c>
      <x:c r="K68" s="27" t="b">
        <x:v>0</x:v>
      </x:c>
      <x:c r="L68" s="24" t="b">
        <x:f>AND(J68,K68)</x:f>
        <x:v>0</x:v>
      </x:c>
      <x:c r="M68" s="29" t="b">
        <x:v>1</x:v>
      </x:c>
      <x:c r="N68" s="30" t="n">
        <x:v>1</x:v>
      </x:c>
      <x:c r="O68" s="31" t="n">
        <x:v>-0.52</x:v>
      </x:c>
      <x:c r="P68" s="31" t="n">
        <x:v>80.8510638297872</x:v>
      </x:c>
      <x:c r="Q68" s="31" t="n">
        <x:v>0.2095032360720383</x:v>
      </x:c>
      <x:c r="R68" s="31" t="n">
        <x:v>0</x:v>
      </x:c>
      <x:c r="S68" s="33" t="n">
        <x:f>IF(OR(G68="",P68=""),"",G68-P68)</x:f>
        <x:v>12.099409838800668</x:v>
      </x:c>
      <x:c r="T68" s="33" t="n">
        <x:f>IF(S68="","",ABS(S68))</x:f>
        <x:v>12.099409838800668</x:v>
      </x:c>
      <x:c r="U68" s="34" t="str">
        <x:f>IF(M68=FALSE,"Not analysed in paper",IF(K68=N68,"Significance agrees",IF(K68=TRUE,"User only","Paper only")))</x:f>
        <x:v>Paper only</x:v>
      </x:c>
      <x:c r="V68" s="34" t="str">
        <x:f>IF(M68=FALSE,"Not analysed in paper",IF(L68=FALSE,"User not reliable/significant",IF(N68=FALSE,"Paper not significant",IF(P68="","Exact paper latency unavailable",IF(T68&lt;=10,"Close (&lt;=10 ms)",IF(T68&lt;=20,"Similar (10-20 ms)","Different (&gt;20 ms)"))))))</x:f>
        <x:v>User not reliable/significant</x:v>
      </x:c>
      <x:c r="W68" s="37" t="b">
        <x:v>0</x:v>
      </x:c>
      <x:c r="X68" s="38"/>
      <x:c r="Y68" s="38"/>
      <x:c r="Z68" s="39"/>
      <x:c r="AA68" s="39" t="str">
        <x:f>IF(W68=FALSE,"Not explicitly reported in PDF",IF(AND(G68&gt;=X68,G68&lt;=Y68),"Within PDF value/range",IF(MIN(ABS(G68-X68),ABS(G68-Y68))&lt;=15,"Within 15 ms of PDF","Different from PDF")))</x:f>
        <x:v>Not explicitly reported in PDF</x:v>
      </x:c>
    </x:row>
    <x:row r="69">
      <x:c r="A69" s="20" t="str">
        <x:v>LIN</x:v>
      </x:c>
      <x:c r="B69" s="20" t="str">
        <x:v>Linear nucleus of the medulla</x:v>
      </x:c>
      <x:c r="C69" s="20" t="str">
        <x:v>Hindbrain</x:v>
      </x:c>
      <x:c r="D69" s="24" t="n">
        <x:v>1</x:v>
      </x:c>
      <x:c r="E69" s="24" t="n">
        <x:v>11</x:v>
      </x:c>
      <x:c r="F69" s="25" t="n">
        <x:v>4.908727135700261</x:v>
      </x:c>
      <x:c r="G69" s="25" t="n">
        <x:v>140.92317458961705</x:v>
      </x:c>
      <x:c r="H69" s="26" t="n">
        <x:v>0.2057942057942058</x:v>
      </x:c>
      <x:c r="I69" s="26" t="n">
        <x:v>0.3464636629193591</x:v>
      </x:c>
      <x:c r="J69" s="27" t="b">
        <x:v>0</x:v>
      </x:c>
      <x:c r="K69" s="27" t="b">
        <x:v>0</x:v>
      </x:c>
      <x:c r="L69" s="24" t="b">
        <x:f>AND(J69,K69)</x:f>
        <x:v>0</x:v>
      </x:c>
      <x:c r="M69" s="29" t="b">
        <x:v>0</x:v>
      </x:c>
      <x:c r="N69" s="30"/>
      <x:c r="O69" s="31"/>
      <x:c r="P69" s="31"/>
      <x:c r="Q69" s="31"/>
      <x:c r="R69" s="31"/>
      <x:c r="S69" s="33" t="str">
        <x:f>IF(OR(G69="",P69=""),"",G69-P69)</x:f>
      </x:c>
      <x:c r="T69" s="33" t="str">
        <x:f>IF(S69="","",ABS(S69))</x:f>
      </x:c>
      <x:c r="U69" s="34" t="str">
        <x:f>IF(M69=FALSE,"Not analysed in paper",IF(K69=N69,"Significance agrees",IF(K69=TRUE,"User only","Paper only")))</x:f>
        <x:v>Not analysed in paper</x:v>
      </x:c>
      <x:c r="V69" s="34" t="str">
        <x:f>IF(M69=FALSE,"Not analysed in paper",IF(L69=FALSE,"User not reliable/significant",IF(N69=FALSE,"Paper not significant",IF(P69="","Exact paper latency unavailable",IF(T69&lt;=10,"Close (&lt;=10 ms)",IF(T69&lt;=20,"Similar (10-20 ms)","Different (&gt;20 ms)"))))))</x:f>
        <x:v>Not analysed in paper</x:v>
      </x:c>
      <x:c r="W69" s="37" t="b">
        <x:v>0</x:v>
      </x:c>
      <x:c r="X69" s="38"/>
      <x:c r="Y69" s="38"/>
      <x:c r="Z69" s="39"/>
      <x:c r="AA69" s="39" t="str">
        <x:f>IF(W69=FALSE,"Not explicitly reported in PDF",IF(AND(G69&gt;=X69,G69&lt;=Y69),"Within PDF value/range",IF(MIN(ABS(G69-X69),ABS(G69-Y69))&lt;=15,"Within 15 ms of PDF","Different from PDF")))</x:f>
        <x:v>Not explicitly reported in PDF</x:v>
      </x:c>
    </x:row>
    <x:row r="70">
      <x:c r="A70" s="20" t="str">
        <x:v>LRN</x:v>
      </x:c>
      <x:c r="B70" s="20" t="str">
        <x:v>Lateral reticular nucleus</x:v>
      </x:c>
      <x:c r="C70" s="20" t="str">
        <x:v>Hindbrain</x:v>
      </x:c>
      <x:c r="D70" s="24" t="n">
        <x:v>5</x:v>
      </x:c>
      <x:c r="E70" s="24" t="n">
        <x:v>31</x:v>
      </x:c>
      <x:c r="F70" s="25" t="n">
        <x:v>3.336127935671485</x:v>
      </x:c>
      <x:c r="G70" s="25" t="n">
        <x:v>96.39767192843124</x:v>
      </x:c>
      <x:c r="H70" s="26" t="n">
        <x:v>0.5464535464535465</x:v>
      </x:c>
      <x:c r="I70" s="26" t="n">
        <x:v>0.6824255556649923</x:v>
      </x:c>
      <x:c r="J70" s="27" t="b">
        <x:v>1</x:v>
      </x:c>
      <x:c r="K70" s="27" t="b">
        <x:v>0</x:v>
      </x:c>
      <x:c r="L70" s="24" t="b">
        <x:f>AND(J70,K70)</x:f>
        <x:v>0</x:v>
      </x:c>
      <x:c r="M70" s="29" t="b">
        <x:v>1</x:v>
      </x:c>
      <x:c r="N70" s="30" t="n">
        <x:v>1</x:v>
      </x:c>
      <x:c r="O70" s="31" t="n">
        <x:v>-0.21</x:v>
      </x:c>
      <x:c r="P70" s="31"/>
      <x:c r="Q70" s="31"/>
      <x:c r="R70" s="31"/>
      <x:c r="S70" s="33" t="str">
        <x:f>IF(OR(G70="",P70=""),"",G70-P70)</x:f>
      </x:c>
      <x:c r="T70" s="33" t="str">
        <x:f>IF(S70="","",ABS(S70))</x:f>
      </x:c>
      <x:c r="U70" s="34" t="str">
        <x:f>IF(M70=FALSE,"Not analysed in paper",IF(K70=N70,"Significance agrees",IF(K70=TRUE,"User only","Paper only")))</x:f>
        <x:v>Paper only</x:v>
      </x:c>
      <x:c r="V70" s="34" t="str">
        <x:f>IF(M70=FALSE,"Not analysed in paper",IF(L70=FALSE,"User not reliable/significant",IF(N70=FALSE,"Paper not significant",IF(P70="","Exact paper latency unavailable",IF(T70&lt;=10,"Close (&lt;=10 ms)",IF(T70&lt;=20,"Similar (10-20 ms)","Different (&gt;20 ms)"))))))</x:f>
        <x:v>User not reliable/significant</x:v>
      </x:c>
      <x:c r="W70" s="37" t="b">
        <x:v>0</x:v>
      </x:c>
      <x:c r="X70" s="38"/>
      <x:c r="Y70" s="38"/>
      <x:c r="Z70" s="39"/>
      <x:c r="AA70" s="39" t="str">
        <x:f>IF(W70=FALSE,"Not explicitly reported in PDF",IF(AND(G70&gt;=X70,G70&lt;=Y70),"Within PDF value/range",IF(MIN(ABS(G70-X70),ABS(G70-Y70))&lt;=15,"Within 15 ms of PDF","Different from PDF")))</x:f>
        <x:v>Not explicitly reported in PDF</x:v>
      </x:c>
    </x:row>
    <x:row r="71">
      <x:c r="A71" s="20" t="str">
        <x:v>MARN</x:v>
      </x:c>
      <x:c r="B71" s="20" t="str">
        <x:v>Magnocellular reticular nucleus</x:v>
      </x:c>
      <x:c r="C71" s="20" t="str">
        <x:v>Hindbrain</x:v>
      </x:c>
      <x:c r="D71" s="24" t="n">
        <x:v>4</x:v>
      </x:c>
      <x:c r="E71" s="24" t="n">
        <x:v>83</x:v>
      </x:c>
      <x:c r="F71" s="25" t="n">
        <x:v>5.388506058949041</x:v>
      </x:c>
      <x:c r="G71" s="25" t="n">
        <x:v>118.76794730146231</x:v>
      </x:c>
      <x:c r="H71" s="26" t="n">
        <x:v>0.0809190809190809</x:v>
      </x:c>
      <x:c r="I71" s="26" t="n">
        <x:v>0.1749957359713457</x:v>
      </x:c>
      <x:c r="J71" s="27" t="b">
        <x:v>1</x:v>
      </x:c>
      <x:c r="K71" s="27" t="b">
        <x:v>0</x:v>
      </x:c>
      <x:c r="L71" s="24" t="b">
        <x:f>AND(J71,K71)</x:f>
        <x:v>0</x:v>
      </x:c>
      <x:c r="M71" s="29" t="b">
        <x:v>1</x:v>
      </x:c>
      <x:c r="N71" s="30" t="n">
        <x:v>0</x:v>
      </x:c>
      <x:c r="O71" s="31" t="n">
        <x:v>-0.53</x:v>
      </x:c>
      <x:c r="P71" s="31"/>
      <x:c r="Q71" s="31"/>
      <x:c r="R71" s="31"/>
      <x:c r="S71" s="33" t="str">
        <x:f>IF(OR(G71="",P71=""),"",G71-P71)</x:f>
      </x:c>
      <x:c r="T71" s="33" t="str">
        <x:f>IF(S71="","",ABS(S71))</x:f>
      </x:c>
      <x:c r="U71" s="34" t="str">
        <x:f>IF(M71=FALSE,"Not analysed in paper",IF(K71=N71,"Significance agrees",IF(K71=TRUE,"User only","Paper only")))</x:f>
        <x:v>Significance agrees</x:v>
      </x:c>
      <x:c r="V71" s="34" t="str">
        <x:f>IF(M71=FALSE,"Not analysed in paper",IF(L71=FALSE,"User not reliable/significant",IF(N71=FALSE,"Paper not significant",IF(P71="","Exact paper latency unavailable",IF(T71&lt;=10,"Close (&lt;=10 ms)",IF(T71&lt;=20,"Similar (10-20 ms)","Different (&gt;20 ms)"))))))</x:f>
        <x:v>User not reliable/significant</x:v>
      </x:c>
      <x:c r="W71" s="37" t="b">
        <x:v>0</x:v>
      </x:c>
      <x:c r="X71" s="38"/>
      <x:c r="Y71" s="38"/>
      <x:c r="Z71" s="39"/>
      <x:c r="AA71" s="39" t="str">
        <x:f>IF(W71=FALSE,"Not explicitly reported in PDF",IF(AND(G71&gt;=X71,G71&lt;=Y71),"Within PDF value/range",IF(MIN(ABS(G71-X71),ABS(G71-Y71))&lt;=15,"Within 15 ms of PDF","Different from PDF")))</x:f>
        <x:v>Not explicitly reported in PDF</x:v>
      </x:c>
    </x:row>
    <x:row r="72">
      <x:c r="A72" s="20" t="str">
        <x:v>MDRN</x:v>
      </x:c>
      <x:c r="B72" s="20" t="str">
        <x:v>Medullary reticular nucleus</x:v>
      </x:c>
      <x:c r="C72" s="20" t="str">
        <x:v>Hindbrain</x:v>
      </x:c>
      <x:c r="D72" s="24" t="n">
        <x:v>8</x:v>
      </x:c>
      <x:c r="E72" s="24" t="n">
        <x:v>180</x:v>
      </x:c>
      <x:c r="F72" s="25" t="n">
        <x:v>3.5771845105837095</x:v>
      </x:c>
      <x:c r="G72" s="25" t="n">
        <x:v>124.13801396594668</x:v>
      </x:c>
      <x:c r="H72" s="26" t="n">
        <x:v>0.0019980019980019</x:v>
      </x:c>
      <x:c r="I72" s="26" t="n">
        <x:v>0.0120788302606484</x:v>
      </x:c>
      <x:c r="J72" s="27" t="b">
        <x:v>1</x:v>
      </x:c>
      <x:c r="K72" s="27" t="b">
        <x:v>0</x:v>
      </x:c>
      <x:c r="L72" s="24" t="b">
        <x:f>AND(J72,K72)</x:f>
        <x:v>0</x:v>
      </x:c>
      <x:c r="M72" s="29" t="b">
        <x:v>1</x:v>
      </x:c>
      <x:c r="N72" s="30" t="n">
        <x:v>1</x:v>
      </x:c>
      <x:c r="O72" s="31" t="n">
        <x:v>-0.66</x:v>
      </x:c>
      <x:c r="P72" s="31" t="n">
        <x:v>34.0425531914893</x:v>
      </x:c>
      <x:c r="Q72" s="31" t="n">
        <x:v>0.188324163475056</x:v>
      </x:c>
      <x:c r="R72" s="31" t="n">
        <x:v>1</x:v>
      </x:c>
      <x:c r="S72" s="33" t="n">
        <x:f>IF(OR(G72="",P72=""),"",G72-P72)</x:f>
        <x:v>90.0954607744574</x:v>
      </x:c>
      <x:c r="T72" s="33" t="n">
        <x:f>IF(S72="","",ABS(S72))</x:f>
        <x:v>90.0954607744574</x:v>
      </x:c>
      <x:c r="U72" s="34" t="str">
        <x:f>IF(M72=FALSE,"Not analysed in paper",IF(K72=N72,"Significance agrees",IF(K72=TRUE,"User only","Paper only")))</x:f>
        <x:v>Paper only</x:v>
      </x:c>
      <x:c r="V72" s="34" t="str">
        <x:f>IF(M72=FALSE,"Not analysed in paper",IF(L72=FALSE,"User not reliable/significant",IF(N72=FALSE,"Paper not significant",IF(P72="","Exact paper latency unavailable",IF(T72&lt;=10,"Close (&lt;=10 ms)",IF(T72&lt;=20,"Similar (10-20 ms)","Different (&gt;20 ms)"))))))</x:f>
        <x:v>User not reliable/significant</x:v>
      </x:c>
      <x:c r="W72" s="37" t="b">
        <x:v>0</x:v>
      </x:c>
      <x:c r="X72" s="38"/>
      <x:c r="Y72" s="38"/>
      <x:c r="Z72" s="39"/>
      <x:c r="AA72" s="39" t="str">
        <x:f>IF(W72=FALSE,"Not explicitly reported in PDF",IF(AND(G72&gt;=X72,G72&lt;=Y72),"Within PDF value/range",IF(MIN(ABS(G72-X72),ABS(G72-Y72))&lt;=15,"Within 15 ms of PDF","Different from PDF")))</x:f>
        <x:v>Not explicitly reported in PDF</x:v>
      </x:c>
    </x:row>
    <x:row r="73">
      <x:c r="A73" s="20" t="str">
        <x:v>MV</x:v>
      </x:c>
      <x:c r="B73" s="20" t="str">
        <x:v>Medial vestibular nucleus</x:v>
      </x:c>
      <x:c r="C73" s="20" t="str">
        <x:v>Hindbrain</x:v>
      </x:c>
      <x:c r="D73" s="24" t="n">
        <x:v>22</x:v>
      </x:c>
      <x:c r="E73" s="24" t="n">
        <x:v>672</x:v>
      </x:c>
      <x:c r="F73" s="25" t="n">
        <x:v>4.895202421515641</x:v>
      </x:c>
      <x:c r="G73" s="25" t="n">
        <x:v>124.87236758471512</x:v>
      </x:c>
      <x:c r="H73" s="26" t="n">
        <x:v>0.0199800199800199</x:v>
      </x:c>
      <x:c r="I73" s="26" t="n">
        <x:v>0.0617986664498292</x:v>
      </x:c>
      <x:c r="J73" s="27" t="b">
        <x:v>1</x:v>
      </x:c>
      <x:c r="K73" s="27" t="b">
        <x:v>0</x:v>
      </x:c>
      <x:c r="L73" s="24" t="b">
        <x:f>AND(J73,K73)</x:f>
        <x:v>0</x:v>
      </x:c>
      <x:c r="M73" s="29" t="b">
        <x:v>1</x:v>
      </x:c>
      <x:c r="N73" s="30" t="n">
        <x:v>1</x:v>
      </x:c>
      <x:c r="O73" s="31" t="n">
        <x:v>-0.8</x:v>
      </x:c>
      <x:c r="P73" s="31" t="n">
        <x:v>0</x:v>
      </x:c>
      <x:c r="Q73" s="31" t="n">
        <x:v>0.1298831190788408</x:v>
      </x:c>
      <x:c r="R73" s="31" t="n">
        <x:v>1</x:v>
      </x:c>
      <x:c r="S73" s="33" t="str">
        <x:f>IF(OR(G73="",P73=""),"",G73-P73)</x:f>
      </x:c>
      <x:c r="T73" s="33" t="str">
        <x:f>IF(S73="","",ABS(S73))</x:f>
      </x:c>
      <x:c r="U73" s="34" t="str">
        <x:f>IF(M73=FALSE,"Not analysed in paper",IF(K73=N73,"Significance agrees",IF(K73=TRUE,"User only","Paper only")))</x:f>
        <x:v>Paper only</x:v>
      </x:c>
      <x:c r="V73" s="34" t="str">
        <x:f>IF(M73=FALSE,"Not analysed in paper",IF(L73=FALSE,"User not reliable/significant",IF(N73=FALSE,"Paper not significant",IF(P73="","Exact paper latency unavailable",IF(T73&lt;=10,"Close (&lt;=10 ms)",IF(T73&lt;=20,"Similar (10-20 ms)","Different (&gt;20 ms)"))))))</x:f>
        <x:v>User not reliable/significant</x:v>
      </x:c>
      <x:c r="W73" s="37" t="b">
        <x:v>0</x:v>
      </x:c>
      <x:c r="X73" s="38"/>
      <x:c r="Y73" s="38"/>
      <x:c r="Z73" s="39"/>
      <x:c r="AA73" s="39" t="str">
        <x:f>IF(W73=FALSE,"Not explicitly reported in PDF",IF(AND(G73&gt;=X73,G73&lt;=Y73),"Within PDF value/range",IF(MIN(ABS(G73-X73),ABS(G73-Y73))&lt;=15,"Within 15 ms of PDF","Different from PDF")))</x:f>
        <x:v>Not explicitly reported in PDF</x:v>
      </x:c>
    </x:row>
    <x:row r="74">
      <x:c r="A74" s="20" t="str">
        <x:v>NI</x:v>
      </x:c>
      <x:c r="B74" s="20" t="str">
        <x:v>Nucleus incertus</x:v>
      </x:c>
      <x:c r="C74" s="20" t="str">
        <x:v>Hindbrain</x:v>
      </x:c>
      <x:c r="D74" s="24" t="n">
        <x:v>5</x:v>
      </x:c>
      <x:c r="E74" s="24" t="n">
        <x:v>24</x:v>
      </x:c>
      <x:c r="F74" s="25" t="n">
        <x:v>2.752703699983474</x:v>
      </x:c>
      <x:c r="G74" s="25" t="n">
        <x:v>96.20985231951018</x:v>
      </x:c>
      <x:c r="H74" s="26" t="n">
        <x:v>0.2487512487512487</x:v>
      </x:c>
      <x:c r="I74" s="26" t="n">
        <x:v>0.3962145638792345</x:v>
      </x:c>
      <x:c r="J74" s="27" t="b">
        <x:v>1</x:v>
      </x:c>
      <x:c r="K74" s="27" t="b">
        <x:v>0</x:v>
      </x:c>
      <x:c r="L74" s="24" t="b">
        <x:f>AND(J74,K74)</x:f>
        <x:v>0</x:v>
      </x:c>
      <x:c r="M74" s="29" t="b">
        <x:v>0</x:v>
      </x:c>
      <x:c r="N74" s="30"/>
      <x:c r="O74" s="31"/>
      <x:c r="P74" s="31"/>
      <x:c r="Q74" s="31"/>
      <x:c r="R74" s="31"/>
      <x:c r="S74" s="33" t="str">
        <x:f>IF(OR(G74="",P74=""),"",G74-P74)</x:f>
      </x:c>
      <x:c r="T74" s="33" t="str">
        <x:f>IF(S74="","",ABS(S74))</x:f>
      </x:c>
      <x:c r="U74" s="34" t="str">
        <x:f>IF(M74=FALSE,"Not analysed in paper",IF(K74=N74,"Significance agrees",IF(K74=TRUE,"User only","Paper only")))</x:f>
        <x:v>Not analysed in paper</x:v>
      </x:c>
      <x:c r="V74" s="34" t="str">
        <x:f>IF(M74=FALSE,"Not analysed in paper",IF(L74=FALSE,"User not reliable/significant",IF(N74=FALSE,"Paper not significant",IF(P74="","Exact paper latency unavailable",IF(T74&lt;=10,"Close (&lt;=10 ms)",IF(T74&lt;=20,"Similar (10-20 ms)","Different (&gt;20 ms)"))))))</x:f>
        <x:v>Not analysed in paper</x:v>
      </x:c>
      <x:c r="W74" s="37" t="b">
        <x:v>0</x:v>
      </x:c>
      <x:c r="X74" s="38"/>
      <x:c r="Y74" s="38"/>
      <x:c r="Z74" s="39"/>
      <x:c r="AA74" s="39" t="str">
        <x:f>IF(W74=FALSE,"Not explicitly reported in PDF",IF(AND(G74&gt;=X74,G74&lt;=Y74),"Within PDF value/range",IF(MIN(ABS(G74-X74),ABS(G74-Y74))&lt;=15,"Within 15 ms of PDF","Different from PDF")))</x:f>
        <x:v>Not explicitly reported in PDF</x:v>
      </x:c>
    </x:row>
    <x:row r="75">
      <x:c r="A75" s="20" t="str">
        <x:v>NLL</x:v>
      </x:c>
      <x:c r="B75" s="20" t="str">
        <x:v>Nucleus of the lateral lemniscus</x:v>
      </x:c>
      <x:c r="C75" s="20" t="str">
        <x:v>Hindbrain</x:v>
      </x:c>
      <x:c r="D75" s="24" t="n">
        <x:v>8</x:v>
      </x:c>
      <x:c r="E75" s="24" t="n">
        <x:v>184</x:v>
      </x:c>
      <x:c r="F75" s="25" t="n">
        <x:v>1.8151672902766751</x:v>
      </x:c>
      <x:c r="G75" s="25" t="n">
        <x:v>104.05086077817896</x:v>
      </x:c>
      <x:c r="H75" s="26" t="n">
        <x:v>0.0229770229770229</x:v>
      </x:c>
      <x:c r="I75" s="26" t="n">
        <x:v>0.0664335664335664</x:v>
      </x:c>
      <x:c r="J75" s="27" t="b">
        <x:v>1</x:v>
      </x:c>
      <x:c r="K75" s="27" t="b">
        <x:v>0</x:v>
      </x:c>
      <x:c r="L75" s="24" t="b">
        <x:f>AND(J75,K75)</x:f>
        <x:v>0</x:v>
      </x:c>
      <x:c r="M75" s="29" t="b">
        <x:v>1</x:v>
      </x:c>
      <x:c r="N75" s="30" t="n">
        <x:v>0</x:v>
      </x:c>
      <x:c r="O75" s="31" t="n">
        <x:v>-0.76</x:v>
      </x:c>
      <x:c r="P75" s="31" t="n">
        <x:v>63.829787234042506</x:v>
      </x:c>
      <x:c r="Q75" s="31" t="n">
        <x:v>0.1758689811519461</x:v>
      </x:c>
      <x:c r="R75" s="31" t="n">
        <x:v>0</x:v>
      </x:c>
      <x:c r="S75" s="33" t="n">
        <x:f>IF(OR(G75="",P75=""),"",G75-P75)</x:f>
        <x:v>40.22107354413645</x:v>
      </x:c>
      <x:c r="T75" s="33" t="n">
        <x:f>IF(S75="","",ABS(S75))</x:f>
        <x:v>40.22107354413645</x:v>
      </x:c>
      <x:c r="U75" s="34" t="str">
        <x:f>IF(M75=FALSE,"Not analysed in paper",IF(K75=N75,"Significance agrees",IF(K75=TRUE,"User only","Paper only")))</x:f>
        <x:v>Significance agrees</x:v>
      </x:c>
      <x:c r="V75" s="34" t="str">
        <x:f>IF(M75=FALSE,"Not analysed in paper",IF(L75=FALSE,"User not reliable/significant",IF(N75=FALSE,"Paper not significant",IF(P75="","Exact paper latency unavailable",IF(T75&lt;=10,"Close (&lt;=10 ms)",IF(T75&lt;=20,"Similar (10-20 ms)","Different (&gt;20 ms)"))))))</x:f>
        <x:v>User not reliable/significant</x:v>
      </x:c>
      <x:c r="W75" s="37" t="b">
        <x:v>0</x:v>
      </x:c>
      <x:c r="X75" s="38"/>
      <x:c r="Y75" s="38"/>
      <x:c r="Z75" s="39"/>
      <x:c r="AA75" s="39" t="str">
        <x:f>IF(W75=FALSE,"Not explicitly reported in PDF",IF(AND(G75&gt;=X75,G75&lt;=Y75),"Within PDF value/range",IF(MIN(ABS(G75-X75),ABS(G75-Y75))&lt;=15,"Within 15 ms of PDF","Different from PDF")))</x:f>
        <x:v>Not explicitly reported in PDF</x:v>
      </x:c>
    </x:row>
    <x:row r="76">
      <x:c r="A76" s="20" t="str">
        <x:v>NTS</x:v>
      </x:c>
      <x:c r="B76" s="20" t="str">
        <x:v>Nucleus of the solitary tract</x:v>
      </x:c>
      <x:c r="C76" s="20" t="str">
        <x:v>Hindbrain</x:v>
      </x:c>
      <x:c r="D76" s="24" t="n">
        <x:v>20</x:v>
      </x:c>
      <x:c r="E76" s="24" t="n">
        <x:v>124</x:v>
      </x:c>
      <x:c r="F76" s="25" t="n">
        <x:v>4.03419897426914</x:v>
      </x:c>
      <x:c r="G76" s="25" t="n">
        <x:v>127.77840672495404</x:v>
      </x:c>
      <x:c r="H76" s="26" t="n">
        <x:v>0.1518481518481518</x:v>
      </x:c>
      <x:c r="I76" s="26" t="n">
        <x:v>0.2824587999413174</x:v>
      </x:c>
      <x:c r="J76" s="27" t="b">
        <x:v>1</x:v>
      </x:c>
      <x:c r="K76" s="27" t="b">
        <x:v>0</x:v>
      </x:c>
      <x:c r="L76" s="24" t="b">
        <x:f>AND(J76,K76)</x:f>
        <x:v>0</x:v>
      </x:c>
      <x:c r="M76" s="29" t="b">
        <x:v>1</x:v>
      </x:c>
      <x:c r="N76" s="30" t="n">
        <x:v>0</x:v>
      </x:c>
      <x:c r="O76" s="31" t="n">
        <x:v>-0.81</x:v>
      </x:c>
      <x:c r="P76" s="31"/>
      <x:c r="Q76" s="31"/>
      <x:c r="R76" s="31"/>
      <x:c r="S76" s="33" t="str">
        <x:f>IF(OR(G76="",P76=""),"",G76-P76)</x:f>
      </x:c>
      <x:c r="T76" s="33" t="str">
        <x:f>IF(S76="","",ABS(S76))</x:f>
      </x:c>
      <x:c r="U76" s="34" t="str">
        <x:f>IF(M76=FALSE,"Not analysed in paper",IF(K76=N76,"Significance agrees",IF(K76=TRUE,"User only","Paper only")))</x:f>
        <x:v>Significance agrees</x:v>
      </x:c>
      <x:c r="V76" s="34" t="str">
        <x:f>IF(M76=FALSE,"Not analysed in paper",IF(L76=FALSE,"User not reliable/significant",IF(N76=FALSE,"Paper not significant",IF(P76="","Exact paper latency unavailable",IF(T76&lt;=10,"Close (&lt;=10 ms)",IF(T76&lt;=20,"Similar (10-20 ms)","Different (&gt;20 ms)"))))))</x:f>
        <x:v>User not reliable/significant</x:v>
      </x:c>
      <x:c r="W76" s="37" t="b">
        <x:v>0</x:v>
      </x:c>
      <x:c r="X76" s="38"/>
      <x:c r="Y76" s="38"/>
      <x:c r="Z76" s="39"/>
      <x:c r="AA76" s="39" t="str">
        <x:f>IF(W76=FALSE,"Not explicitly reported in PDF",IF(AND(G76&gt;=X76,G76&lt;=Y76),"Within PDF value/range",IF(MIN(ABS(G76-X76),ABS(G76-Y76))&lt;=15,"Within 15 ms of PDF","Different from PDF")))</x:f>
        <x:v>Not explicitly reported in PDF</x:v>
      </x:c>
    </x:row>
    <x:row r="77">
      <x:c r="A77" s="20" t="str">
        <x:v>P5</x:v>
      </x:c>
      <x:c r="B77" s="20" t="str">
        <x:v>Peritrigeminal zone</x:v>
      </x:c>
      <x:c r="C77" s="20" t="str">
        <x:v>Hindbrain</x:v>
      </x:c>
      <x:c r="D77" s="24" t="n">
        <x:v>5</x:v>
      </x:c>
      <x:c r="E77" s="24" t="n">
        <x:v>46</x:v>
      </x:c>
      <x:c r="F77" s="25" t="n">
        <x:v>1.653154643956422</x:v>
      </x:c>
      <x:c r="G77" s="25" t="n">
        <x:v>83.11667619303083</x:v>
      </x:c>
      <x:c r="H77" s="26" t="n">
        <x:v>0.8581418581418582</x:v>
      </x:c>
      <x:c r="I77" s="26" t="n">
        <x:v>0.9177970623753756</x:v>
      </x:c>
      <x:c r="J77" s="27" t="b">
        <x:v>1</x:v>
      </x:c>
      <x:c r="K77" s="27" t="b">
        <x:v>0</x:v>
      </x:c>
      <x:c r="L77" s="24" t="b">
        <x:f>AND(J77,K77)</x:f>
        <x:v>0</x:v>
      </x:c>
      <x:c r="M77" s="29" t="b">
        <x:v>1</x:v>
      </x:c>
      <x:c r="N77" s="30" t="n">
        <x:v>0</x:v>
      </x:c>
      <x:c r="O77" s="31" t="n">
        <x:v>-0.61</x:v>
      </x:c>
      <x:c r="P77" s="31"/>
      <x:c r="Q77" s="31"/>
      <x:c r="R77" s="31"/>
      <x:c r="S77" s="33" t="str">
        <x:f>IF(OR(G77="",P77=""),"",G77-P77)</x:f>
      </x:c>
      <x:c r="T77" s="33" t="str">
        <x:f>IF(S77="","",ABS(S77))</x:f>
      </x:c>
      <x:c r="U77" s="34" t="str">
        <x:f>IF(M77=FALSE,"Not analysed in paper",IF(K77=N77,"Significance agrees",IF(K77=TRUE,"User only","Paper only")))</x:f>
        <x:v>Significance agrees</x:v>
      </x:c>
      <x:c r="V77" s="34" t="str">
        <x:f>IF(M77=FALSE,"Not analysed in paper",IF(L77=FALSE,"User not reliable/significant",IF(N77=FALSE,"Paper not significant",IF(P77="","Exact paper latency unavailable",IF(T77&lt;=10,"Close (&lt;=10 ms)",IF(T77&lt;=20,"Similar (10-20 ms)","Different (&gt;20 ms)"))))))</x:f>
        <x:v>User not reliable/significant</x:v>
      </x:c>
      <x:c r="W77" s="37" t="b">
        <x:v>0</x:v>
      </x:c>
      <x:c r="X77" s="38"/>
      <x:c r="Y77" s="38"/>
      <x:c r="Z77" s="39"/>
      <x:c r="AA77" s="39" t="str">
        <x:f>IF(W77=FALSE,"Not explicitly reported in PDF",IF(AND(G77&gt;=X77,G77&lt;=Y77),"Within PDF value/range",IF(MIN(ABS(G77-X77),ABS(G77-Y77))&lt;=15,"Within 15 ms of PDF","Different from PDF")))</x:f>
        <x:v>Not explicitly reported in PDF</x:v>
      </x:c>
    </x:row>
    <x:row r="78">
      <x:c r="A78" s="20" t="str">
        <x:v>PARN</x:v>
      </x:c>
      <x:c r="B78" s="20" t="str">
        <x:v>Parvicellular reticular nucleus</x:v>
      </x:c>
      <x:c r="C78" s="20" t="str">
        <x:v>Hindbrain</x:v>
      </x:c>
      <x:c r="D78" s="24" t="n">
        <x:v>21</x:v>
      </x:c>
      <x:c r="E78" s="24" t="n">
        <x:v>423</x:v>
      </x:c>
      <x:c r="F78" s="25" t="n">
        <x:v>4.188350286262342</x:v>
      </x:c>
      <x:c r="G78" s="25" t="n">
        <x:v>135.46565840054808</x:v>
      </x:c>
      <x:c r="H78" s="26" t="n">
        <x:v>0.2757242757242757</x:v>
      </x:c>
      <x:c r="I78" s="26" t="n">
        <x:v>0.4289044289044288</x:v>
      </x:c>
      <x:c r="J78" s="27" t="b">
        <x:v>1</x:v>
      </x:c>
      <x:c r="K78" s="27" t="b">
        <x:v>0</x:v>
      </x:c>
      <x:c r="L78" s="24" t="b">
        <x:f>AND(J78,K78)</x:f>
        <x:v>0</x:v>
      </x:c>
      <x:c r="M78" s="29" t="b">
        <x:v>1</x:v>
      </x:c>
      <x:c r="N78" s="30" t="n">
        <x:v>0</x:v>
      </x:c>
      <x:c r="O78" s="31" t="n">
        <x:v>-0.87</x:v>
      </x:c>
      <x:c r="P78" s="31" t="n">
        <x:v>63.829787234042506</x:v>
      </x:c>
      <x:c r="Q78" s="31" t="n">
        <x:v>0.2598782621694482</x:v>
      </x:c>
      <x:c r="R78" s="31" t="n">
        <x:v>1</x:v>
      </x:c>
      <x:c r="S78" s="33" t="n">
        <x:f>IF(OR(G78="",P78=""),"",G78-P78)</x:f>
        <x:v>71.63587116650558</x:v>
      </x:c>
      <x:c r="T78" s="33" t="n">
        <x:f>IF(S78="","",ABS(S78))</x:f>
        <x:v>71.63587116650558</x:v>
      </x:c>
      <x:c r="U78" s="34" t="str">
        <x:f>IF(M78=FALSE,"Not analysed in paper",IF(K78=N78,"Significance agrees",IF(K78=TRUE,"User only","Paper only")))</x:f>
        <x:v>Significance agrees</x:v>
      </x:c>
      <x:c r="V78" s="34" t="str">
        <x:f>IF(M78=FALSE,"Not analysed in paper",IF(L78=FALSE,"User not reliable/significant",IF(N78=FALSE,"Paper not significant",IF(P78="","Exact paper latency unavailable",IF(T78&lt;=10,"Close (&lt;=10 ms)",IF(T78&lt;=20,"Similar (10-20 ms)","Different (&gt;20 ms)"))))))</x:f>
        <x:v>User not reliable/significant</x:v>
      </x:c>
      <x:c r="W78" s="37" t="b">
        <x:v>0</x:v>
      </x:c>
      <x:c r="X78" s="38"/>
      <x:c r="Y78" s="38"/>
      <x:c r="Z78" s="39"/>
      <x:c r="AA78" s="39" t="str">
        <x:f>IF(W78=FALSE,"Not explicitly reported in PDF",IF(AND(G78&gt;=X78,G78&lt;=Y78),"Within PDF value/range",IF(MIN(ABS(G78-X78),ABS(G78-Y78))&lt;=15,"Within 15 ms of PDF","Different from PDF")))</x:f>
        <x:v>Not explicitly reported in PDF</x:v>
      </x:c>
    </x:row>
    <x:row r="79">
      <x:c r="A79" s="20" t="str">
        <x:v>PAS</x:v>
      </x:c>
      <x:c r="B79" s="20" t="str">
        <x:v>Parasolitary nucleus</x:v>
      </x:c>
      <x:c r="C79" s="20" t="str">
        <x:v>Hindbrain</x:v>
      </x:c>
      <x:c r="D79" s="24" t="n">
        <x:v>1</x:v>
      </x:c>
      <x:c r="E79" s="24" t="n">
        <x:v>1</x:v>
      </x:c>
      <x:c r="F79" s="25" t="n">
        <x:v>1.302083368937174</x:v>
      </x:c>
      <x:c r="G79" s="25" t="n">
        <x:v>127.50000030761716</x:v>
      </x:c>
      <x:c r="H79" s="26" t="n">
        <x:v>0.1648351648351648</x:v>
      </x:c>
      <x:c r="I79" s="26" t="n">
        <x:v>0.2982731554160125</x:v>
      </x:c>
      <x:c r="J79" s="27" t="b">
        <x:v>0</x:v>
      </x:c>
      <x:c r="K79" s="27" t="b">
        <x:v>0</x:v>
      </x:c>
      <x:c r="L79" s="24" t="b">
        <x:f>AND(J79,K79)</x:f>
        <x:v>0</x:v>
      </x:c>
      <x:c r="M79" s="29" t="b">
        <x:v>0</x:v>
      </x:c>
      <x:c r="N79" s="30"/>
      <x:c r="O79" s="31"/>
      <x:c r="P79" s="31"/>
      <x:c r="Q79" s="31"/>
      <x:c r="R79" s="31"/>
      <x:c r="S79" s="33" t="str">
        <x:f>IF(OR(G79="",P79=""),"",G79-P79)</x:f>
      </x:c>
      <x:c r="T79" s="33" t="str">
        <x:f>IF(S79="","",ABS(S79))</x:f>
      </x:c>
      <x:c r="U79" s="34" t="str">
        <x:f>IF(M79=FALSE,"Not analysed in paper",IF(K79=N79,"Significance agrees",IF(K79=TRUE,"User only","Paper only")))</x:f>
        <x:v>Not analysed in paper</x:v>
      </x:c>
      <x:c r="V79" s="34" t="str">
        <x:f>IF(M79=FALSE,"Not analysed in paper",IF(L79=FALSE,"User not reliable/significant",IF(N79=FALSE,"Paper not significant",IF(P79="","Exact paper latency unavailable",IF(T79&lt;=10,"Close (&lt;=10 ms)",IF(T79&lt;=20,"Similar (10-20 ms)","Different (&gt;20 ms)"))))))</x:f>
        <x:v>Not analysed in paper</x:v>
      </x:c>
      <x:c r="W79" s="37" t="b">
        <x:v>0</x:v>
      </x:c>
      <x:c r="X79" s="38"/>
      <x:c r="Y79" s="38"/>
      <x:c r="Z79" s="39"/>
      <x:c r="AA79" s="39" t="str">
        <x:f>IF(W79=FALSE,"Not explicitly reported in PDF",IF(AND(G79&gt;=X79,G79&lt;=Y79),"Within PDF value/range",IF(MIN(ABS(G79-X79),ABS(G79-Y79))&lt;=15,"Within 15 ms of PDF","Different from PDF")))</x:f>
        <x:v>Not explicitly reported in PDF</x:v>
      </x:c>
    </x:row>
    <x:row r="80">
      <x:c r="A80" s="20" t="str">
        <x:v>PB</x:v>
      </x:c>
      <x:c r="B80" s="20" t="str">
        <x:v>Parabrachial nucleus</x:v>
      </x:c>
      <x:c r="C80" s="20" t="str">
        <x:v>Hindbrain</x:v>
      </x:c>
      <x:c r="D80" s="24" t="n">
        <x:v>28</x:v>
      </x:c>
      <x:c r="E80" s="24" t="n">
        <x:v>306</x:v>
      </x:c>
      <x:c r="F80" s="25" t="n">
        <x:v>2.454373467369703</x:v>
      </x:c>
      <x:c r="G80" s="25" t="n">
        <x:v>139.54942170711652</x:v>
      </x:c>
      <x:c r="H80" s="26" t="n">
        <x:v>0.3576423576423576</x:v>
      </x:c>
      <x:c r="I80" s="26" t="n">
        <x:v>0.5087319098014286</x:v>
      </x:c>
      <x:c r="J80" s="27" t="b">
        <x:v>1</x:v>
      </x:c>
      <x:c r="K80" s="27" t="b">
        <x:v>0</x:v>
      </x:c>
      <x:c r="L80" s="24" t="b">
        <x:f>AND(J80,K80)</x:f>
        <x:v>0</x:v>
      </x:c>
      <x:c r="M80" s="29" t="b">
        <x:v>1</x:v>
      </x:c>
      <x:c r="N80" s="30" t="n">
        <x:v>0</x:v>
      </x:c>
      <x:c r="O80" s="31" t="n">
        <x:v>-0.72</x:v>
      </x:c>
      <x:c r="P80" s="31" t="n">
        <x:v>51.063829787234</x:v>
      </x:c>
      <x:c r="Q80" s="31" t="n">
        <x:v>0.1700151719064463</x:v>
      </x:c>
      <x:c r="R80" s="31" t="n">
        <x:v>1</x:v>
      </x:c>
      <x:c r="S80" s="33" t="n">
        <x:f>IF(OR(G80="",P80=""),"",G80-P80)</x:f>
        <x:v>88.48559191988252</x:v>
      </x:c>
      <x:c r="T80" s="33" t="n">
        <x:f>IF(S80="","",ABS(S80))</x:f>
        <x:v>88.48559191988252</x:v>
      </x:c>
      <x:c r="U80" s="34" t="str">
        <x:f>IF(M80=FALSE,"Not analysed in paper",IF(K80=N80,"Significance agrees",IF(K80=TRUE,"User only","Paper only")))</x:f>
        <x:v>Significance agrees</x:v>
      </x:c>
      <x:c r="V80" s="34" t="str">
        <x:f>IF(M80=FALSE,"Not analysed in paper",IF(L80=FALSE,"User not reliable/significant",IF(N80=FALSE,"Paper not significant",IF(P80="","Exact paper latency unavailable",IF(T80&lt;=10,"Close (&lt;=10 ms)",IF(T80&lt;=20,"Similar (10-20 ms)","Different (&gt;20 ms)"))))))</x:f>
        <x:v>User not reliable/significant</x:v>
      </x:c>
      <x:c r="W80" s="37" t="b">
        <x:v>0</x:v>
      </x:c>
      <x:c r="X80" s="38"/>
      <x:c r="Y80" s="38"/>
      <x:c r="Z80" s="39"/>
      <x:c r="AA80" s="39" t="str">
        <x:f>IF(W80=FALSE,"Not explicitly reported in PDF",IF(AND(G80&gt;=X80,G80&lt;=Y80),"Within PDF value/range",IF(MIN(ABS(G80-X80),ABS(G80-Y80))&lt;=15,"Within 15 ms of PDF","Different from PDF")))</x:f>
        <x:v>Not explicitly reported in PDF</x:v>
      </x:c>
    </x:row>
    <x:row r="81">
      <x:c r="A81" s="20" t="str">
        <x:v>PC5</x:v>
      </x:c>
      <x:c r="B81" s="20" t="str">
        <x:v>Parvicellular motor 5 nucleus</x:v>
      </x:c>
      <x:c r="C81" s="20" t="str">
        <x:v>Hindbrain</x:v>
      </x:c>
      <x:c r="D81" s="24" t="n">
        <x:v>4</x:v>
      </x:c>
      <x:c r="E81" s="24" t="n">
        <x:v>35</x:v>
      </x:c>
      <x:c r="F81" s="25" t="n">
        <x:v>3.2127246793818824</x:v>
      </x:c>
      <x:c r="G81" s="25" t="n">
        <x:v>14.3878949506402</x:v>
      </x:c>
      <x:c r="H81" s="26" t="n">
        <x:v>0.2397602397602397</x:v>
      </x:c>
      <x:c r="I81" s="26" t="n">
        <x:v>0.3888794132696572</x:v>
      </x:c>
      <x:c r="J81" s="27" t="b">
        <x:v>1</x:v>
      </x:c>
      <x:c r="K81" s="27" t="b">
        <x:v>0</x:v>
      </x:c>
      <x:c r="L81" s="24" t="b">
        <x:f>AND(J81,K81)</x:f>
        <x:v>0</x:v>
      </x:c>
      <x:c r="M81" s="29" t="b">
        <x:v>1</x:v>
      </x:c>
      <x:c r="N81" s="30" t="n">
        <x:v>0</x:v>
      </x:c>
      <x:c r="O81" s="31" t="n">
        <x:v>-0.6</x:v>
      </x:c>
      <x:c r="P81" s="31"/>
      <x:c r="Q81" s="31"/>
      <x:c r="R81" s="31"/>
      <x:c r="S81" s="33" t="str">
        <x:f>IF(OR(G81="",P81=""),"",G81-P81)</x:f>
      </x:c>
      <x:c r="T81" s="33" t="str">
        <x:f>IF(S81="","",ABS(S81))</x:f>
      </x:c>
      <x:c r="U81" s="34" t="str">
        <x:f>IF(M81=FALSE,"Not analysed in paper",IF(K81=N81,"Significance agrees",IF(K81=TRUE,"User only","Paper only")))</x:f>
        <x:v>Significance agrees</x:v>
      </x:c>
      <x:c r="V81" s="34" t="str">
        <x:f>IF(M81=FALSE,"Not analysed in paper",IF(L81=FALSE,"User not reliable/significant",IF(N81=FALSE,"Paper not significant",IF(P81="","Exact paper latency unavailable",IF(T81&lt;=10,"Close (&lt;=10 ms)",IF(T81&lt;=20,"Similar (10-20 ms)","Different (&gt;20 ms)"))))))</x:f>
        <x:v>User not reliable/significant</x:v>
      </x:c>
      <x:c r="W81" s="37" t="b">
        <x:v>0</x:v>
      </x:c>
      <x:c r="X81" s="38"/>
      <x:c r="Y81" s="38"/>
      <x:c r="Z81" s="39"/>
      <x:c r="AA81" s="39" t="str">
        <x:f>IF(W81=FALSE,"Not explicitly reported in PDF",IF(AND(G81&gt;=X81,G81&lt;=Y81),"Within PDF value/range",IF(MIN(ABS(G81-X81),ABS(G81-Y81))&lt;=15,"Within 15 ms of PDF","Different from PDF")))</x:f>
        <x:v>Not explicitly reported in PDF</x:v>
      </x:c>
    </x:row>
    <x:row r="82">
      <x:c r="A82" s="20" t="str">
        <x:v>PCG</x:v>
      </x:c>
      <x:c r="B82" s="20" t="str">
        <x:v>Pontine central gray</x:v>
      </x:c>
      <x:c r="C82" s="20" t="str">
        <x:v>Hindbrain</x:v>
      </x:c>
      <x:c r="D82" s="24" t="n">
        <x:v>7</x:v>
      </x:c>
      <x:c r="E82" s="24" t="n">
        <x:v>82</x:v>
      </x:c>
      <x:c r="F82" s="25" t="n">
        <x:v>3.5133230115602956</x:v>
      </x:c>
      <x:c r="G82" s="25" t="n">
        <x:v>102.533748070762</x:v>
      </x:c>
      <x:c r="H82" s="26" t="n">
        <x:v>0.1068931068931069</x:v>
      </x:c>
      <x:c r="I82" s="26" t="n">
        <x:v>0.2075442805369812</x:v>
      </x:c>
      <x:c r="J82" s="27" t="b">
        <x:v>1</x:v>
      </x:c>
      <x:c r="K82" s="27" t="b">
        <x:v>0</x:v>
      </x:c>
      <x:c r="L82" s="24" t="b">
        <x:f>AND(J82,K82)</x:f>
        <x:v>0</x:v>
      </x:c>
      <x:c r="M82" s="29" t="b">
        <x:v>1</x:v>
      </x:c>
      <x:c r="N82" s="30" t="n">
        <x:v>0</x:v>
      </x:c>
      <x:c r="O82" s="31" t="n">
        <x:v>-0.59</x:v>
      </x:c>
      <x:c r="P82" s="31"/>
      <x:c r="Q82" s="31"/>
      <x:c r="R82" s="31"/>
      <x:c r="S82" s="33" t="str">
        <x:f>IF(OR(G82="",P82=""),"",G82-P82)</x:f>
      </x:c>
      <x:c r="T82" s="33" t="str">
        <x:f>IF(S82="","",ABS(S82))</x:f>
      </x:c>
      <x:c r="U82" s="34" t="str">
        <x:f>IF(M82=FALSE,"Not analysed in paper",IF(K82=N82,"Significance agrees",IF(K82=TRUE,"User only","Paper only")))</x:f>
        <x:v>Significance agrees</x:v>
      </x:c>
      <x:c r="V82" s="34" t="str">
        <x:f>IF(M82=FALSE,"Not analysed in paper",IF(L82=FALSE,"User not reliable/significant",IF(N82=FALSE,"Paper not significant",IF(P82="","Exact paper latency unavailable",IF(T82&lt;=10,"Close (&lt;=10 ms)",IF(T82&lt;=20,"Similar (10-20 ms)","Different (&gt;20 ms)"))))))</x:f>
        <x:v>User not reliable/significant</x:v>
      </x:c>
      <x:c r="W82" s="37" t="b">
        <x:v>0</x:v>
      </x:c>
      <x:c r="X82" s="38"/>
      <x:c r="Y82" s="38"/>
      <x:c r="Z82" s="39"/>
      <x:c r="AA82" s="39" t="str">
        <x:f>IF(W82=FALSE,"Not explicitly reported in PDF",IF(AND(G82&gt;=X82,G82&lt;=Y82),"Within PDF value/range",IF(MIN(ABS(G82-X82),ABS(G82-Y82))&lt;=15,"Within 15 ms of PDF","Different from PDF")))</x:f>
        <x:v>Not explicitly reported in PDF</x:v>
      </x:c>
    </x:row>
    <x:row r="83">
      <x:c r="A83" s="20" t="str">
        <x:v>PDTg</x:v>
      </x:c>
      <x:c r="B83" s="20" t="str">
        <x:v>Posterodorsal tegmental nucleus</x:v>
      </x:c>
      <x:c r="C83" s="20" t="str">
        <x:v>Hindbrain</x:v>
      </x:c>
      <x:c r="D83" s="24" t="n">
        <x:v>2</x:v>
      </x:c>
      <x:c r="E83" s="24" t="n">
        <x:v>12</x:v>
      </x:c>
      <x:c r="F83" s="25" t="n">
        <x:v>8.543468615304256</x:v>
      </x:c>
      <x:c r="G83" s="25" t="n">
        <x:v>130.52073491084803</x:v>
      </x:c>
      <x:c r="H83" s="26" t="n">
        <x:v>0.0009990009990009</x:v>
      </x:c>
      <x:c r="I83" s="26" t="n">
        <x:v>0.0066433566433566</x:v>
      </x:c>
      <x:c r="J83" s="27" t="b">
        <x:v>0</x:v>
      </x:c>
      <x:c r="K83" s="27" t="b">
        <x:v>1</x:v>
      </x:c>
      <x:c r="L83" s="24" t="b">
        <x:f>AND(J83,K83)</x:f>
        <x:v>0</x:v>
      </x:c>
      <x:c r="M83" s="29" t="b">
        <x:v>0</x:v>
      </x:c>
      <x:c r="N83" s="30"/>
      <x:c r="O83" s="31"/>
      <x:c r="P83" s="31"/>
      <x:c r="Q83" s="31"/>
      <x:c r="R83" s="31"/>
      <x:c r="S83" s="33" t="str">
        <x:f>IF(OR(G83="",P83=""),"",G83-P83)</x:f>
      </x:c>
      <x:c r="T83" s="33" t="str">
        <x:f>IF(S83="","",ABS(S83))</x:f>
      </x:c>
      <x:c r="U83" s="34" t="str">
        <x:f>IF(M83=FALSE,"Not analysed in paper",IF(K83=N83,"Significance agrees",IF(K83=TRUE,"User only","Paper only")))</x:f>
        <x:v>Not analysed in paper</x:v>
      </x:c>
      <x:c r="V83" s="34" t="str">
        <x:f>IF(M83=FALSE,"Not analysed in paper",IF(L83=FALSE,"User not reliable/significant",IF(N83=FALSE,"Paper not significant",IF(P83="","Exact paper latency unavailable",IF(T83&lt;=10,"Close (&lt;=10 ms)",IF(T83&lt;=20,"Similar (10-20 ms)","Different (&gt;20 ms)"))))))</x:f>
        <x:v>Not analysed in paper</x:v>
      </x:c>
      <x:c r="W83" s="37" t="b">
        <x:v>0</x:v>
      </x:c>
      <x:c r="X83" s="38"/>
      <x:c r="Y83" s="38"/>
      <x:c r="Z83" s="39"/>
      <x:c r="AA83" s="39" t="str">
        <x:f>IF(W83=FALSE,"Not explicitly reported in PDF",IF(AND(G83&gt;=X83,G83&lt;=Y83),"Within PDF value/range",IF(MIN(ABS(G83-X83),ABS(G83-Y83))&lt;=15,"Within 15 ms of PDF","Different from PDF")))</x:f>
        <x:v>Not explicitly reported in PDF</x:v>
      </x:c>
    </x:row>
    <x:row r="84">
      <x:c r="A84" s="20" t="str">
        <x:v>PG</x:v>
      </x:c>
      <x:c r="B84" s="20" t="str">
        <x:v>Pontine gray</x:v>
      </x:c>
      <x:c r="C84" s="20" t="str">
        <x:v>Hindbrain</x:v>
      </x:c>
      <x:c r="D84" s="24" t="n">
        <x:v>3</x:v>
      </x:c>
      <x:c r="E84" s="24" t="n">
        <x:v>9</x:v>
      </x:c>
      <x:c r="F84" s="25" t="n">
        <x:v>6.989422498580863</x:v>
      </x:c>
      <x:c r="G84" s="25" t="n">
        <x:v>102.75625042141289</x:v>
      </x:c>
      <x:c r="H84" s="26" t="n">
        <x:v>0.5574425574425574</x:v>
      </x:c>
      <x:c r="I84" s="26" t="n">
        <x:v>0.6864801864801864</x:v>
      </x:c>
      <x:c r="J84" s="27" t="b">
        <x:v>0</x:v>
      </x:c>
      <x:c r="K84" s="27" t="b">
        <x:v>0</x:v>
      </x:c>
      <x:c r="L84" s="24" t="b">
        <x:f>AND(J84,K84)</x:f>
        <x:v>0</x:v>
      </x:c>
      <x:c r="M84" s="29" t="b">
        <x:v>0</x:v>
      </x:c>
      <x:c r="N84" s="30"/>
      <x:c r="O84" s="31"/>
      <x:c r="P84" s="31"/>
      <x:c r="Q84" s="31"/>
      <x:c r="R84" s="31"/>
      <x:c r="S84" s="33" t="str">
        <x:f>IF(OR(G84="",P84=""),"",G84-P84)</x:f>
      </x:c>
      <x:c r="T84" s="33" t="str">
        <x:f>IF(S84="","",ABS(S84))</x:f>
      </x:c>
      <x:c r="U84" s="34" t="str">
        <x:f>IF(M84=FALSE,"Not analysed in paper",IF(K84=N84,"Significance agrees",IF(K84=TRUE,"User only","Paper only")))</x:f>
        <x:v>Not analysed in paper</x:v>
      </x:c>
      <x:c r="V84" s="34" t="str">
        <x:f>IF(M84=FALSE,"Not analysed in paper",IF(L84=FALSE,"User not reliable/significant",IF(N84=FALSE,"Paper not significant",IF(P84="","Exact paper latency unavailable",IF(T84&lt;=10,"Close (&lt;=10 ms)",IF(T84&lt;=20,"Similar (10-20 ms)","Different (&gt;20 ms)"))))))</x:f>
        <x:v>Not analysed in paper</x:v>
      </x:c>
      <x:c r="W84" s="37" t="b">
        <x:v>0</x:v>
      </x:c>
      <x:c r="X84" s="38"/>
      <x:c r="Y84" s="38"/>
      <x:c r="Z84" s="39"/>
      <x:c r="AA84" s="39" t="str">
        <x:f>IF(W84=FALSE,"Not explicitly reported in PDF",IF(AND(G84&gt;=X84,G84&lt;=Y84),"Within PDF value/range",IF(MIN(ABS(G84-X84),ABS(G84-Y84))&lt;=15,"Within 15 ms of PDF","Different from PDF")))</x:f>
        <x:v>Not explicitly reported in PDF</x:v>
      </x:c>
    </x:row>
    <x:row r="85">
      <x:c r="A85" s="20" t="str">
        <x:v>PGRN</x:v>
      </x:c>
      <x:c r="B85" s="20" t="str">
        <x:v>Paragigantocellular reticular nucleus</x:v>
      </x:c>
      <x:c r="C85" s="20" t="str">
        <x:v>Hindbrain</x:v>
      </x:c>
      <x:c r="D85" s="24" t="n">
        <x:v>12</x:v>
      </x:c>
      <x:c r="E85" s="24" t="n">
        <x:v>120</x:v>
      </x:c>
      <x:c r="F85" s="25" t="n">
        <x:v>8.735343432307719</x:v>
      </x:c>
      <x:c r="G85" s="25" t="n">
        <x:v>112.89618622918942</x:v>
      </x:c>
      <x:c r="H85" s="26" t="n">
        <x:v>0.0099900099900099</x:v>
      </x:c>
      <x:c r="I85" s="26" t="n">
        <x:v>0.0385122124252559</x:v>
      </x:c>
      <x:c r="J85" s="27" t="b">
        <x:v>1</x:v>
      </x:c>
      <x:c r="K85" s="27" t="b">
        <x:v>0</x:v>
      </x:c>
      <x:c r="L85" s="24" t="b">
        <x:f>AND(J85,K85)</x:f>
        <x:v>0</x:v>
      </x:c>
      <x:c r="M85" s="29" t="b">
        <x:v>1</x:v>
      </x:c>
      <x:c r="N85" s="30" t="n">
        <x:v>1</x:v>
      </x:c>
      <x:c r="O85" s="31" t="n">
        <x:v>-0.23</x:v>
      </x:c>
      <x:c r="P85" s="31"/>
      <x:c r="Q85" s="31"/>
      <x:c r="R85" s="31"/>
      <x:c r="S85" s="33" t="str">
        <x:f>IF(OR(G85="",P85=""),"",G85-P85)</x:f>
      </x:c>
      <x:c r="T85" s="33" t="str">
        <x:f>IF(S85="","",ABS(S85))</x:f>
      </x:c>
      <x:c r="U85" s="34" t="str">
        <x:f>IF(M85=FALSE,"Not analysed in paper",IF(K85=N85,"Significance agrees",IF(K85=TRUE,"User only","Paper only")))</x:f>
        <x:v>Paper only</x:v>
      </x:c>
      <x:c r="V85" s="34" t="str">
        <x:f>IF(M85=FALSE,"Not analysed in paper",IF(L85=FALSE,"User not reliable/significant",IF(N85=FALSE,"Paper not significant",IF(P85="","Exact paper latency unavailable",IF(T85&lt;=10,"Close (&lt;=10 ms)",IF(T85&lt;=20,"Similar (10-20 ms)","Different (&gt;20 ms)"))))))</x:f>
        <x:v>User not reliable/significant</x:v>
      </x:c>
      <x:c r="W85" s="37" t="b">
        <x:v>0</x:v>
      </x:c>
      <x:c r="X85" s="38"/>
      <x:c r="Y85" s="38"/>
      <x:c r="Z85" s="39"/>
      <x:c r="AA85" s="39" t="str">
        <x:f>IF(W85=FALSE,"Not explicitly reported in PDF",IF(AND(G85&gt;=X85,G85&lt;=Y85),"Within PDF value/range",IF(MIN(ABS(G85-X85),ABS(G85-Y85))&lt;=15,"Within 15 ms of PDF","Different from PDF")))</x:f>
        <x:v>Not explicitly reported in PDF</x:v>
      </x:c>
    </x:row>
    <x:row r="86">
      <x:c r="A86" s="20" t="str">
        <x:v>PRNc</x:v>
      </x:c>
      <x:c r="B86" s="20" t="str">
        <x:v>Pontine reticular nucleus caudal part</x:v>
      </x:c>
      <x:c r="C86" s="20" t="str">
        <x:v>Hindbrain</x:v>
      </x:c>
      <x:c r="D86" s="24" t="n">
        <x:v>11</x:v>
      </x:c>
      <x:c r="E86" s="24" t="n">
        <x:v>280</x:v>
      </x:c>
      <x:c r="F86" s="25" t="n">
        <x:v>11.181414784360042</x:v>
      </x:c>
      <x:c r="G86" s="25" t="n">
        <x:v>100.07294565380091</x:v>
      </x:c>
      <x:c r="H86" s="26" t="n">
        <x:v>0.0039960039960039</x:v>
      </x:c>
      <x:c r="I86" s="26" t="n">
        <x:v>0.0189810189810189</x:v>
      </x:c>
      <x:c r="J86" s="27" t="b">
        <x:v>1</x:v>
      </x:c>
      <x:c r="K86" s="27" t="b">
        <x:v>0</x:v>
      </x:c>
      <x:c r="L86" s="24" t="b">
        <x:f>AND(J86,K86)</x:f>
        <x:v>0</x:v>
      </x:c>
      <x:c r="M86" s="29" t="b">
        <x:v>1</x:v>
      </x:c>
      <x:c r="N86" s="30" t="n">
        <x:v>1</x:v>
      </x:c>
      <x:c r="O86" s="31" t="n">
        <x:v>0</x:v>
      </x:c>
      <x:c r="P86" s="31" t="n">
        <x:v>80.8510638297872</x:v>
      </x:c>
      <x:c r="Q86" s="31" t="n">
        <x:v>1.2768041731517128</x:v>
      </x:c>
      <x:c r="R86" s="31" t="n">
        <x:v>1</x:v>
      </x:c>
      <x:c r="S86" s="33" t="n">
        <x:f>IF(OR(G86="",P86=""),"",G86-P86)</x:f>
        <x:v>19.22188182401372</x:v>
      </x:c>
      <x:c r="T86" s="33" t="n">
        <x:f>IF(S86="","",ABS(S86))</x:f>
        <x:v>19.22188182401372</x:v>
      </x:c>
      <x:c r="U86" s="34" t="str">
        <x:f>IF(M86=FALSE,"Not analysed in paper",IF(K86=N86,"Significance agrees",IF(K86=TRUE,"User only","Paper only")))</x:f>
        <x:v>Paper only</x:v>
      </x:c>
      <x:c r="V86" s="34" t="str">
        <x:f>IF(M86=FALSE,"Not analysed in paper",IF(L86=FALSE,"User not reliable/significant",IF(N86=FALSE,"Paper not significant",IF(P86="","Exact paper latency unavailable",IF(T86&lt;=10,"Close (&lt;=10 ms)",IF(T86&lt;=20,"Similar (10-20 ms)","Different (&gt;20 ms)"))))))</x:f>
        <x:v>User not reliable/significant</x:v>
      </x:c>
      <x:c r="W86" s="37" t="b">
        <x:v>0</x:v>
      </x:c>
      <x:c r="X86" s="38"/>
      <x:c r="Y86" s="38"/>
      <x:c r="Z86" s="39"/>
      <x:c r="AA86" s="39" t="str">
        <x:f>IF(W86=FALSE,"Not explicitly reported in PDF",IF(AND(G86&gt;=X86,G86&lt;=Y86),"Within PDF value/range",IF(MIN(ABS(G86-X86),ABS(G86-Y86))&lt;=15,"Within 15 ms of PDF","Different from PDF")))</x:f>
        <x:v>Not explicitly reported in PDF</x:v>
      </x:c>
    </x:row>
    <x:row r="87">
      <x:c r="A87" s="20" t="str">
        <x:v>PRNr</x:v>
      </x:c>
      <x:c r="B87" s="20" t="str">
        <x:v>Pontine reticular nucleus</x:v>
      </x:c>
      <x:c r="C87" s="20" t="str">
        <x:v>Hindbrain</x:v>
      </x:c>
      <x:c r="D87" s="24" t="n">
        <x:v>26</x:v>
      </x:c>
      <x:c r="E87" s="24" t="n">
        <x:v>770</x:v>
      </x:c>
      <x:c r="F87" s="25" t="n">
        <x:v>6.23551943957167</x:v>
      </x:c>
      <x:c r="G87" s="25" t="n">
        <x:v>108.54778442693748</x:v>
      </x:c>
      <x:c r="H87" s="26" t="n">
        <x:v>0.0009990009990009</x:v>
      </x:c>
      <x:c r="I87" s="26" t="n">
        <x:v>0.0066433566433566</x:v>
      </x:c>
      <x:c r="J87" s="27" t="b">
        <x:v>1</x:v>
      </x:c>
      <x:c r="K87" s="27" t="b">
        <x:v>1</x:v>
      </x:c>
      <x:c r="L87" s="24" t="b">
        <x:f>AND(J87,K87)</x:f>
        <x:v>1</x:v>
      </x:c>
      <x:c r="M87" s="29" t="b">
        <x:v>1</x:v>
      </x:c>
      <x:c r="N87" s="30" t="n">
        <x:v>1</x:v>
      </x:c>
      <x:c r="O87" s="31" t="n">
        <x:v>-0.35</x:v>
      </x:c>
      <x:c r="P87" s="31" t="n">
        <x:v>89.3617021276595</x:v>
      </x:c>
      <x:c r="Q87" s="31" t="n">
        <x:v>0.5706780060471106</x:v>
      </x:c>
      <x:c r="R87" s="31" t="n">
        <x:v>1</x:v>
      </x:c>
      <x:c r="S87" s="33" t="n">
        <x:f>IF(OR(G87="",P87=""),"",G87-P87)</x:f>
        <x:v>19.186082299277984</x:v>
      </x:c>
      <x:c r="T87" s="33" t="n">
        <x:f>IF(S87="","",ABS(S87))</x:f>
        <x:v>19.186082299277984</x:v>
      </x:c>
      <x:c r="U87" s="34" t="str">
        <x:f>IF(M87=FALSE,"Not analysed in paper",IF(K87=N87,"Significance agrees",IF(K87=TRUE,"User only","Paper only")))</x:f>
        <x:v>Significance agrees</x:v>
      </x:c>
      <x:c r="V87" s="34" t="str">
        <x:f>IF(M87=FALSE,"Not analysed in paper",IF(L87=FALSE,"User not reliable/significant",IF(N87=FALSE,"Paper not significant",IF(P87="","Exact paper latency unavailable",IF(T87&lt;=10,"Close (&lt;=10 ms)",IF(T87&lt;=20,"Similar (10-20 ms)","Different (&gt;20 ms)"))))))</x:f>
        <x:v>Similar (10-20 ms)</x:v>
      </x:c>
      <x:c r="W87" s="37" t="b">
        <x:v>1</x:v>
      </x:c>
      <x:c r="X87" s="38" t="n">
        <x:v>100</x:v>
      </x:c>
      <x:c r="Y87" s="38" t="n">
        <x:v>120</x:v>
      </x:c>
      <x:c r="Z87" s="39" t="str">
        <x:v>approximately 100-120 ms</x:v>
      </x:c>
      <x:c r="AA87" s="39" t="str">
        <x:f>IF(W87=FALSE,"Not explicitly reported in PDF",IF(AND(G87&gt;=X87,G87&lt;=Y87),"Within PDF value/range",IF(MIN(ABS(G87-X87),ABS(G87-Y87))&lt;=15,"Within 15 ms of PDF","Different from PDF")))</x:f>
        <x:v>Within PDF value/range</x:v>
      </x:c>
    </x:row>
    <x:row r="88">
      <x:c r="A88" s="20" t="str">
        <x:v>PRP</x:v>
      </x:c>
      <x:c r="B88" s="20" t="str">
        <x:v>Nucleus prepositus</x:v>
      </x:c>
      <x:c r="C88" s="20" t="str">
        <x:v>Hindbrain</x:v>
      </x:c>
      <x:c r="D88" s="24" t="n">
        <x:v>5</x:v>
      </x:c>
      <x:c r="E88" s="24" t="n">
        <x:v>70</x:v>
      </x:c>
      <x:c r="F88" s="25" t="n">
        <x:v>5.546755793858759</x:v>
      </x:c>
      <x:c r="G88" s="25" t="n">
        <x:v>73.04319563528414</x:v>
      </x:c>
      <x:c r="H88" s="26" t="n">
        <x:v>0.1058941058941058</x:v>
      </x:c>
      <x:c r="I88" s="26" t="n">
        <x:v>0.2071164129987659</x:v>
      </x:c>
      <x:c r="J88" s="27" t="b">
        <x:v>1</x:v>
      </x:c>
      <x:c r="K88" s="27" t="b">
        <x:v>0</x:v>
      </x:c>
      <x:c r="L88" s="24" t="b">
        <x:f>AND(J88,K88)</x:f>
        <x:v>0</x:v>
      </x:c>
      <x:c r="M88" s="29" t="b">
        <x:v>1</x:v>
      </x:c>
      <x:c r="N88" s="30" t="n">
        <x:v>1</x:v>
      </x:c>
      <x:c r="O88" s="31" t="n">
        <x:v>-0.26</x:v>
      </x:c>
      <x:c r="P88" s="31"/>
      <x:c r="Q88" s="31"/>
      <x:c r="R88" s="31"/>
      <x:c r="S88" s="33" t="str">
        <x:f>IF(OR(G88="",P88=""),"",G88-P88)</x:f>
      </x:c>
      <x:c r="T88" s="33" t="str">
        <x:f>IF(S88="","",ABS(S88))</x:f>
      </x:c>
      <x:c r="U88" s="34" t="str">
        <x:f>IF(M88=FALSE,"Not analysed in paper",IF(K88=N88,"Significance agrees",IF(K88=TRUE,"User only","Paper only")))</x:f>
        <x:v>Paper only</x:v>
      </x:c>
      <x:c r="V88" s="34" t="str">
        <x:f>IF(M88=FALSE,"Not analysed in paper",IF(L88=FALSE,"User not reliable/significant",IF(N88=FALSE,"Paper not significant",IF(P88="","Exact paper latency unavailable",IF(T88&lt;=10,"Close (&lt;=10 ms)",IF(T88&lt;=20,"Similar (10-20 ms)","Different (&gt;20 ms)"))))))</x:f>
        <x:v>User not reliable/significant</x:v>
      </x:c>
      <x:c r="W88" s="37" t="b">
        <x:v>0</x:v>
      </x:c>
      <x:c r="X88" s="38"/>
      <x:c r="Y88" s="38"/>
      <x:c r="Z88" s="39"/>
      <x:c r="AA88" s="39" t="str">
        <x:f>IF(W88=FALSE,"Not explicitly reported in PDF",IF(AND(G88&gt;=X88,G88&lt;=Y88),"Within PDF value/range",IF(MIN(ABS(G88-X88),ABS(G88-Y88))&lt;=15,"Within 15 ms of PDF","Different from PDF")))</x:f>
        <x:v>Not explicitly reported in PDF</x:v>
      </x:c>
    </x:row>
    <x:row r="89">
      <x:c r="A89" s="20" t="str">
        <x:v>PSV</x:v>
      </x:c>
      <x:c r="B89" s="20" t="str">
        <x:v>Principal sensory nucleus of the trigeminal</x:v>
      </x:c>
      <x:c r="C89" s="20" t="str">
        <x:v>Hindbrain</x:v>
      </x:c>
      <x:c r="D89" s="24" t="n">
        <x:v>8</x:v>
      </x:c>
      <x:c r="E89" s="24" t="n">
        <x:v>115</x:v>
      </x:c>
      <x:c r="F89" s="25" t="n">
        <x:v>5.877869600330034</x:v>
      </x:c>
      <x:c r="G89" s="25" t="n">
        <x:v>127.23577802754215</x:v>
      </x:c>
      <x:c r="H89" s="26" t="n">
        <x:v>0.0789210789210789</x:v>
      </x:c>
      <x:c r="I89" s="26" t="n">
        <x:v>0.1720738278115327</x:v>
      </x:c>
      <x:c r="J89" s="27" t="b">
        <x:v>1</x:v>
      </x:c>
      <x:c r="K89" s="27" t="b">
        <x:v>0</x:v>
      </x:c>
      <x:c r="L89" s="24" t="b">
        <x:f>AND(J89,K89)</x:f>
        <x:v>0</x:v>
      </x:c>
      <x:c r="M89" s="29" t="b">
        <x:v>1</x:v>
      </x:c>
      <x:c r="N89" s="30" t="n">
        <x:v>1</x:v>
      </x:c>
      <x:c r="O89" s="31" t="n">
        <x:v>-0.62</x:v>
      </x:c>
      <x:c r="P89" s="31"/>
      <x:c r="Q89" s="31"/>
      <x:c r="R89" s="31"/>
      <x:c r="S89" s="33" t="str">
        <x:f>IF(OR(G89="",P89=""),"",G89-P89)</x:f>
      </x:c>
      <x:c r="T89" s="33" t="str">
        <x:f>IF(S89="","",ABS(S89))</x:f>
      </x:c>
      <x:c r="U89" s="34" t="str">
        <x:f>IF(M89=FALSE,"Not analysed in paper",IF(K89=N89,"Significance agrees",IF(K89=TRUE,"User only","Paper only")))</x:f>
        <x:v>Paper only</x:v>
      </x:c>
      <x:c r="V89" s="34" t="str">
        <x:f>IF(M89=FALSE,"Not analysed in paper",IF(L89=FALSE,"User not reliable/significant",IF(N89=FALSE,"Paper not significant",IF(P89="","Exact paper latency unavailable",IF(T89&lt;=10,"Close (&lt;=10 ms)",IF(T89&lt;=20,"Similar (10-20 ms)","Different (&gt;20 ms)"))))))</x:f>
        <x:v>User not reliable/significant</x:v>
      </x:c>
      <x:c r="W89" s="37" t="b">
        <x:v>0</x:v>
      </x:c>
      <x:c r="X89" s="38"/>
      <x:c r="Y89" s="38"/>
      <x:c r="Z89" s="39"/>
      <x:c r="AA89" s="39" t="str">
        <x:f>IF(W89=FALSE,"Not explicitly reported in PDF",IF(AND(G89&gt;=X89,G89&lt;=Y89),"Within PDF value/range",IF(MIN(ABS(G89-X89),ABS(G89-Y89))&lt;=15,"Within 15 ms of PDF","Different from PDF")))</x:f>
        <x:v>Not explicitly reported in PDF</x:v>
      </x:c>
    </x:row>
    <x:row r="90">
      <x:c r="A90" s="20" t="str">
        <x:v>Pa5</x:v>
      </x:c>
      <x:c r="B90" s="20" t="str">
        <x:v>Paratrigeminal nucleus</x:v>
      </x:c>
      <x:c r="C90" s="20" t="str">
        <x:v>Hindbrain</x:v>
      </x:c>
      <x:c r="D90" s="24" t="n">
        <x:v>1</x:v>
      </x:c>
      <x:c r="E90" s="24" t="n">
        <x:v>4</x:v>
      </x:c>
      <x:c r="F90" s="25" t="n">
        <x:v>4.617920310711796</x:v>
      </x:c>
      <x:c r="G90" s="25" t="n">
        <x:v>24.909344725118853</x:v>
      </x:c>
      <x:c r="H90" s="26" t="n">
        <x:v>0.8591408591408591</x:v>
      </x:c>
      <x:c r="I90" s="26" t="n">
        <x:v>0.9177970623753756</x:v>
      </x:c>
      <x:c r="J90" s="27" t="b">
        <x:v>0</x:v>
      </x:c>
      <x:c r="K90" s="27" t="b">
        <x:v>0</x:v>
      </x:c>
      <x:c r="L90" s="24" t="b">
        <x:f>AND(J90,K90)</x:f>
        <x:v>0</x:v>
      </x:c>
      <x:c r="M90" s="29" t="b">
        <x:v>0</x:v>
      </x:c>
      <x:c r="N90" s="30"/>
      <x:c r="O90" s="31"/>
      <x:c r="P90" s="31"/>
      <x:c r="Q90" s="31"/>
      <x:c r="R90" s="31"/>
      <x:c r="S90" s="33" t="str">
        <x:f>IF(OR(G90="",P90=""),"",G90-P90)</x:f>
      </x:c>
      <x:c r="T90" s="33" t="str">
        <x:f>IF(S90="","",ABS(S90))</x:f>
      </x:c>
      <x:c r="U90" s="34" t="str">
        <x:f>IF(M90=FALSE,"Not analysed in paper",IF(K90=N90,"Significance agrees",IF(K90=TRUE,"User only","Paper only")))</x:f>
        <x:v>Not analysed in paper</x:v>
      </x:c>
      <x:c r="V90" s="34" t="str">
        <x:f>IF(M90=FALSE,"Not analysed in paper",IF(L90=FALSE,"User not reliable/significant",IF(N90=FALSE,"Paper not significant",IF(P90="","Exact paper latency unavailable",IF(T90&lt;=10,"Close (&lt;=10 ms)",IF(T90&lt;=20,"Similar (10-20 ms)","Different (&gt;20 ms)"))))))</x:f>
        <x:v>Not analysed in paper</x:v>
      </x:c>
      <x:c r="W90" s="37" t="b">
        <x:v>0</x:v>
      </x:c>
      <x:c r="X90" s="38"/>
      <x:c r="Y90" s="38"/>
      <x:c r="Z90" s="39"/>
      <x:c r="AA90" s="39" t="str">
        <x:f>IF(W90=FALSE,"Not explicitly reported in PDF",IF(AND(G90&gt;=X90,G90&lt;=Y90),"Within PDF value/range",IF(MIN(ABS(G90-X90),ABS(G90-Y90))&lt;=15,"Within 15 ms of PDF","Different from PDF")))</x:f>
        <x:v>Not explicitly reported in PDF</x:v>
      </x:c>
    </x:row>
    <x:row r="91">
      <x:c r="A91" s="20" t="str">
        <x:v>RO</x:v>
      </x:c>
      <x:c r="B91" s="20" t="str">
        <x:v>Nucleus raphe obscurus</x:v>
      </x:c>
      <x:c r="C91" s="20" t="str">
        <x:v>Hindbrain</x:v>
      </x:c>
      <x:c r="D91" s="24" t="n">
        <x:v>1</x:v>
      </x:c>
      <x:c r="E91" s="24" t="n">
        <x:v>1</x:v>
      </x:c>
      <x:c r="F91" s="25" t="n">
        <x:v>2.1302237383919995</x:v>
      </x:c>
      <x:c r="G91" s="25" t="n">
        <x:v>113.99451904521172</x:v>
      </x:c>
      <x:c r="H91" s="26" t="n">
        <x:v>0.906093906093906</x:v>
      </x:c>
      <x:c r="I91" s="26" t="n">
        <x:v>0.9414881993006992</x:v>
      </x:c>
      <x:c r="J91" s="27" t="b">
        <x:v>0</x:v>
      </x:c>
      <x:c r="K91" s="27" t="b">
        <x:v>0</x:v>
      </x:c>
      <x:c r="L91" s="24" t="b">
        <x:f>AND(J91,K91)</x:f>
        <x:v>0</x:v>
      </x:c>
      <x:c r="M91" s="29" t="b">
        <x:v>0</x:v>
      </x:c>
      <x:c r="N91" s="30"/>
      <x:c r="O91" s="31"/>
      <x:c r="P91" s="31"/>
      <x:c r="Q91" s="31"/>
      <x:c r="R91" s="31"/>
      <x:c r="S91" s="33" t="str">
        <x:f>IF(OR(G91="",P91=""),"",G91-P91)</x:f>
      </x:c>
      <x:c r="T91" s="33" t="str">
        <x:f>IF(S91="","",ABS(S91))</x:f>
      </x:c>
      <x:c r="U91" s="34" t="str">
        <x:f>IF(M91=FALSE,"Not analysed in paper",IF(K91=N91,"Significance agrees",IF(K91=TRUE,"User only","Paper only")))</x:f>
        <x:v>Not analysed in paper</x:v>
      </x:c>
      <x:c r="V91" s="34" t="str">
        <x:f>IF(M91=FALSE,"Not analysed in paper",IF(L91=FALSE,"User not reliable/significant",IF(N91=FALSE,"Paper not significant",IF(P91="","Exact paper latency unavailable",IF(T91&lt;=10,"Close (&lt;=10 ms)",IF(T91&lt;=20,"Similar (10-20 ms)","Different (&gt;20 ms)"))))))</x:f>
        <x:v>Not analysed in paper</x:v>
      </x:c>
      <x:c r="W91" s="37" t="b">
        <x:v>0</x:v>
      </x:c>
      <x:c r="X91" s="38"/>
      <x:c r="Y91" s="38"/>
      <x:c r="Z91" s="39"/>
      <x:c r="AA91" s="39" t="str">
        <x:f>IF(W91=FALSE,"Not explicitly reported in PDF",IF(AND(G91&gt;=X91,G91&lt;=Y91),"Within PDF value/range",IF(MIN(ABS(G91-X91),ABS(G91-Y91))&lt;=15,"Within 15 ms of PDF","Different from PDF")))</x:f>
        <x:v>Not explicitly reported in PDF</x:v>
      </x:c>
    </x:row>
    <x:row r="92">
      <x:c r="A92" s="20" t="str">
        <x:v>SOC</x:v>
      </x:c>
      <x:c r="B92" s="20" t="str">
        <x:v>Superior olivary complex</x:v>
      </x:c>
      <x:c r="C92" s="20" t="str">
        <x:v>Hindbrain</x:v>
      </x:c>
      <x:c r="D92" s="24" t="n">
        <x:v>8</x:v>
      </x:c>
      <x:c r="E92" s="24" t="n">
        <x:v>35</x:v>
      </x:c>
      <x:c r="F92" s="25" t="n">
        <x:v>17.40012372596083</x:v>
      </x:c>
      <x:c r="G92" s="25" t="n">
        <x:v>107.09373329191888</x:v>
      </x:c>
      <x:c r="H92" s="26" t="n">
        <x:v>0.0009990009990009</x:v>
      </x:c>
      <x:c r="I92" s="26" t="n">
        <x:v>0.0066433566433566</x:v>
      </x:c>
      <x:c r="J92" s="27" t="b">
        <x:v>1</x:v>
      </x:c>
      <x:c r="K92" s="27" t="b">
        <x:v>1</x:v>
      </x:c>
      <x:c r="L92" s="24" t="b">
        <x:f>AND(J92,K92)</x:f>
        <x:v>1</x:v>
      </x:c>
      <x:c r="M92" s="29" t="b">
        <x:v>1</x:v>
      </x:c>
      <x:c r="N92" s="30" t="n">
        <x:v>1</x:v>
      </x:c>
      <x:c r="O92" s="31" t="n">
        <x:v>0.24</x:v>
      </x:c>
      <x:c r="P92" s="31"/>
      <x:c r="Q92" s="31"/>
      <x:c r="R92" s="31"/>
      <x:c r="S92" s="33" t="str">
        <x:f>IF(OR(G92="",P92=""),"",G92-P92)</x:f>
      </x:c>
      <x:c r="T92" s="33" t="str">
        <x:f>IF(S92="","",ABS(S92))</x:f>
      </x:c>
      <x:c r="U92" s="34" t="str">
        <x:f>IF(M92=FALSE,"Not analysed in paper",IF(K92=N92,"Significance agrees",IF(K92=TRUE,"User only","Paper only")))</x:f>
        <x:v>Significance agrees</x:v>
      </x:c>
      <x:c r="V92" s="34" t="str">
        <x:f>IF(M92=FALSE,"Not analysed in paper",IF(L92=FALSE,"User not reliable/significant",IF(N92=FALSE,"Paper not significant",IF(P92="","Exact paper latency unavailable",IF(T92&lt;=10,"Close (&lt;=10 ms)",IF(T92&lt;=20,"Similar (10-20 ms)","Different (&gt;20 ms)"))))))</x:f>
        <x:v>Exact paper latency unavailable</x:v>
      </x:c>
      <x:c r="W92" s="37" t="b">
        <x:v>0</x:v>
      </x:c>
      <x:c r="X92" s="38"/>
      <x:c r="Y92" s="38"/>
      <x:c r="Z92" s="39"/>
      <x:c r="AA92" s="39" t="str">
        <x:f>IF(W92=FALSE,"Not explicitly reported in PDF",IF(AND(G92&gt;=X92,G92&lt;=Y92),"Within PDF value/range",IF(MIN(ABS(G92-X92),ABS(G92-Y92))&lt;=15,"Within 15 ms of PDF","Different from PDF")))</x:f>
        <x:v>Not explicitly reported in PDF</x:v>
      </x:c>
    </x:row>
    <x:row r="93">
      <x:c r="A93" s="20" t="str">
        <x:v>SPIV</x:v>
      </x:c>
      <x:c r="B93" s="20" t="str">
        <x:v>Spinal vestibular nucleus</x:v>
      </x:c>
      <x:c r="C93" s="20" t="str">
        <x:v>Hindbrain</x:v>
      </x:c>
      <x:c r="D93" s="24" t="n">
        <x:v>18</x:v>
      </x:c>
      <x:c r="E93" s="24" t="n">
        <x:v>327</x:v>
      </x:c>
      <x:c r="F93" s="25" t="n">
        <x:v>6.235902339318938</x:v>
      </x:c>
      <x:c r="G93" s="25" t="n">
        <x:v>128.76129483845375</x:v>
      </x:c>
      <x:c r="H93" s="26" t="n">
        <x:v>0.0019980019980019</x:v>
      </x:c>
      <x:c r="I93" s="26" t="n">
        <x:v>0.0120788302606484</x:v>
      </x:c>
      <x:c r="J93" s="27" t="b">
        <x:v>1</x:v>
      </x:c>
      <x:c r="K93" s="27" t="b">
        <x:v>0</x:v>
      </x:c>
      <x:c r="L93" s="24" t="b">
        <x:f>AND(J93,K93)</x:f>
        <x:v>0</x:v>
      </x:c>
      <x:c r="M93" s="29" t="b">
        <x:v>1</x:v>
      </x:c>
      <x:c r="N93" s="30" t="n">
        <x:v>1</x:v>
      </x:c>
      <x:c r="O93" s="31" t="n">
        <x:v>-0.55</x:v>
      </x:c>
      <x:c r="P93" s="31" t="n">
        <x:v>36.1702127659574</x:v>
      </x:c>
      <x:c r="Q93" s="31" t="n">
        <x:v>0.2466252063145459</x:v>
      </x:c>
      <x:c r="R93" s="31" t="n">
        <x:v>1</x:v>
      </x:c>
      <x:c r="S93" s="33" t="n">
        <x:f>IF(OR(G93="",P93=""),"",G93-P93)</x:f>
        <x:v>92.59108207249635</x:v>
      </x:c>
      <x:c r="T93" s="33" t="n">
        <x:f>IF(S93="","",ABS(S93))</x:f>
        <x:v>92.59108207249635</x:v>
      </x:c>
      <x:c r="U93" s="34" t="str">
        <x:f>IF(M93=FALSE,"Not analysed in paper",IF(K93=N93,"Significance agrees",IF(K93=TRUE,"User only","Paper only")))</x:f>
        <x:v>Paper only</x:v>
      </x:c>
      <x:c r="V93" s="34" t="str">
        <x:f>IF(M93=FALSE,"Not analysed in paper",IF(L93=FALSE,"User not reliable/significant",IF(N93=FALSE,"Paper not significant",IF(P93="","Exact paper latency unavailable",IF(T93&lt;=10,"Close (&lt;=10 ms)",IF(T93&lt;=20,"Similar (10-20 ms)","Different (&gt;20 ms)"))))))</x:f>
        <x:v>User not reliable/significant</x:v>
      </x:c>
      <x:c r="W93" s="37" t="b">
        <x:v>0</x:v>
      </x:c>
      <x:c r="X93" s="38"/>
      <x:c r="Y93" s="38"/>
      <x:c r="Z93" s="39"/>
      <x:c r="AA93" s="39" t="str">
        <x:f>IF(W93=FALSE,"Not explicitly reported in PDF",IF(AND(G93&gt;=X93,G93&lt;=Y93),"Within PDF value/range",IF(MIN(ABS(G93-X93),ABS(G93-Y93))&lt;=15,"Within 15 ms of PDF","Different from PDF")))</x:f>
        <x:v>Not explicitly reported in PDF</x:v>
      </x:c>
    </x:row>
    <x:row r="94">
      <x:c r="A94" s="20" t="str">
        <x:v>SPVC</x:v>
      </x:c>
      <x:c r="B94" s="20" t="str">
        <x:v>Spinal nucleus of the trigeminal caudal part</x:v>
      </x:c>
      <x:c r="C94" s="20" t="str">
        <x:v>Hindbrain</x:v>
      </x:c>
      <x:c r="D94" s="24" t="n">
        <x:v>5</x:v>
      </x:c>
      <x:c r="E94" s="24" t="n">
        <x:v>42</x:v>
      </x:c>
      <x:c r="F94" s="25" t="n">
        <x:v>2.5854961381122328</x:v>
      </x:c>
      <x:c r="G94" s="25" t="n">
        <x:v>141.66864061641976</x:v>
      </x:c>
      <x:c r="H94" s="26" t="n">
        <x:v>0.4755244755244755</x:v>
      </x:c>
      <x:c r="I94" s="26" t="n">
        <x:v>0.6231010368941403</x:v>
      </x:c>
      <x:c r="J94" s="27" t="b">
        <x:v>1</x:v>
      </x:c>
      <x:c r="K94" s="27" t="b">
        <x:v>0</x:v>
      </x:c>
      <x:c r="L94" s="24" t="b">
        <x:f>AND(J94,K94)</x:f>
        <x:v>0</x:v>
      </x:c>
      <x:c r="M94" s="29" t="b">
        <x:v>1</x:v>
      </x:c>
      <x:c r="N94" s="30" t="n">
        <x:v>0</x:v>
      </x:c>
      <x:c r="O94" s="31" t="n">
        <x:v>-0.5</x:v>
      </x:c>
      <x:c r="P94" s="31"/>
      <x:c r="Q94" s="31"/>
      <x:c r="R94" s="31"/>
      <x:c r="S94" s="33" t="str">
        <x:f>IF(OR(G94="",P94=""),"",G94-P94)</x:f>
      </x:c>
      <x:c r="T94" s="33" t="str">
        <x:f>IF(S94="","",ABS(S94))</x:f>
      </x:c>
      <x:c r="U94" s="34" t="str">
        <x:f>IF(M94=FALSE,"Not analysed in paper",IF(K94=N94,"Significance agrees",IF(K94=TRUE,"User only","Paper only")))</x:f>
        <x:v>Significance agrees</x:v>
      </x:c>
      <x:c r="V94" s="34" t="str">
        <x:f>IF(M94=FALSE,"Not analysed in paper",IF(L94=FALSE,"User not reliable/significant",IF(N94=FALSE,"Paper not significant",IF(P94="","Exact paper latency unavailable",IF(T94&lt;=10,"Close (&lt;=10 ms)",IF(T94&lt;=20,"Similar (10-20 ms)","Different (&gt;20 ms)"))))))</x:f>
        <x:v>User not reliable/significant</x:v>
      </x:c>
      <x:c r="W94" s="37" t="b">
        <x:v>0</x:v>
      </x:c>
      <x:c r="X94" s="38"/>
      <x:c r="Y94" s="38"/>
      <x:c r="Z94" s="39"/>
      <x:c r="AA94" s="39" t="str">
        <x:f>IF(W94=FALSE,"Not explicitly reported in PDF",IF(AND(G94&gt;=X94,G94&lt;=Y94),"Within PDF value/range",IF(MIN(ABS(G94-X94),ABS(G94-Y94))&lt;=15,"Within 15 ms of PDF","Different from PDF")))</x:f>
        <x:v>Not explicitly reported in PDF</x:v>
      </x:c>
    </x:row>
    <x:row r="95">
      <x:c r="A95" s="20" t="str">
        <x:v>SPVI</x:v>
      </x:c>
      <x:c r="B95" s="20" t="str">
        <x:v>Spinal nucleus of the trigeminal interpolar part</x:v>
      </x:c>
      <x:c r="C95" s="20" t="str">
        <x:v>Hindbrain</x:v>
      </x:c>
      <x:c r="D95" s="24" t="n">
        <x:v>15</x:v>
      </x:c>
      <x:c r="E95" s="24" t="n">
        <x:v>321</x:v>
      </x:c>
      <x:c r="F95" s="25" t="n">
        <x:v>2.706523695522406</x:v>
      </x:c>
      <x:c r="G95" s="25" t="n">
        <x:v>119.8690672730526</x:v>
      </x:c>
      <x:c r="H95" s="26" t="n">
        <x:v>0.0379620379620379</x:v>
      </x:c>
      <x:c r="I95" s="26" t="n">
        <x:v>0.095263227338699</x:v>
      </x:c>
      <x:c r="J95" s="27" t="b">
        <x:v>1</x:v>
      </x:c>
      <x:c r="K95" s="27" t="b">
        <x:v>0</x:v>
      </x:c>
      <x:c r="L95" s="24" t="b">
        <x:f>AND(J95,K95)</x:f>
        <x:v>0</x:v>
      </x:c>
      <x:c r="M95" s="29" t="b">
        <x:v>1</x:v>
      </x:c>
      <x:c r="N95" s="30" t="n">
        <x:v>1</x:v>
      </x:c>
      <x:c r="O95" s="31" t="n">
        <x:v>-0.76</x:v>
      </x:c>
      <x:c r="P95" s="31" t="n">
        <x:v>82.9787234042553</x:v>
      </x:c>
      <x:c r="Q95" s="31" t="n">
        <x:v>0.2158974169787443</x:v>
      </x:c>
      <x:c r="R95" s="31" t="n">
        <x:v>1</x:v>
      </x:c>
      <x:c r="S95" s="33" t="n">
        <x:f>IF(OR(G95="",P95=""),"",G95-P95)</x:f>
        <x:v>36.89034386879729</x:v>
      </x:c>
      <x:c r="T95" s="33" t="n">
        <x:f>IF(S95="","",ABS(S95))</x:f>
        <x:v>36.89034386879729</x:v>
      </x:c>
      <x:c r="U95" s="34" t="str">
        <x:f>IF(M95=FALSE,"Not analysed in paper",IF(K95=N95,"Significance agrees",IF(K95=TRUE,"User only","Paper only")))</x:f>
        <x:v>Paper only</x:v>
      </x:c>
      <x:c r="V95" s="34" t="str">
        <x:f>IF(M95=FALSE,"Not analysed in paper",IF(L95=FALSE,"User not reliable/significant",IF(N95=FALSE,"Paper not significant",IF(P95="","Exact paper latency unavailable",IF(T95&lt;=10,"Close (&lt;=10 ms)",IF(T95&lt;=20,"Similar (10-20 ms)","Different (&gt;20 ms)"))))))</x:f>
        <x:v>User not reliable/significant</x:v>
      </x:c>
      <x:c r="W95" s="37" t="b">
        <x:v>0</x:v>
      </x:c>
      <x:c r="X95" s="38"/>
      <x:c r="Y95" s="38"/>
      <x:c r="Z95" s="39"/>
      <x:c r="AA95" s="39" t="str">
        <x:f>IF(W95=FALSE,"Not explicitly reported in PDF",IF(AND(G95&gt;=X95,G95&lt;=Y95),"Within PDF value/range",IF(MIN(ABS(G95-X95),ABS(G95-Y95))&lt;=15,"Within 15 ms of PDF","Different from PDF")))</x:f>
        <x:v>Not explicitly reported in PDF</x:v>
      </x:c>
    </x:row>
    <x:row r="96">
      <x:c r="A96" s="20" t="str">
        <x:v>SPVO</x:v>
      </x:c>
      <x:c r="B96" s="20" t="str">
        <x:v>Spinal nucleus of the trigeminal oral part</x:v>
      </x:c>
      <x:c r="C96" s="20" t="str">
        <x:v>Hindbrain</x:v>
      </x:c>
      <x:c r="D96" s="24" t="n">
        <x:v>8</x:v>
      </x:c>
      <x:c r="E96" s="24" t="n">
        <x:v>129</x:v>
      </x:c>
      <x:c r="F96" s="25" t="n">
        <x:v>5.188268738554086</x:v>
      </x:c>
      <x:c r="G96" s="25" t="n">
        <x:v>122.3466300960958</x:v>
      </x:c>
      <x:c r="H96" s="26" t="n">
        <x:v>0.0279720279720279</x:v>
      </x:c>
      <x:c r="I96" s="26" t="n">
        <x:v>0.0759240759240759</x:v>
      </x:c>
      <x:c r="J96" s="27" t="b">
        <x:v>1</x:v>
      </x:c>
      <x:c r="K96" s="27" t="b">
        <x:v>0</x:v>
      </x:c>
      <x:c r="L96" s="24" t="b">
        <x:f>AND(J96,K96)</x:f>
        <x:v>0</x:v>
      </x:c>
      <x:c r="M96" s="29" t="b">
        <x:v>1</x:v>
      </x:c>
      <x:c r="N96" s="30" t="n">
        <x:v>0</x:v>
      </x:c>
      <x:c r="O96" s="31" t="n">
        <x:v>-0.63</x:v>
      </x:c>
      <x:c r="P96" s="31"/>
      <x:c r="Q96" s="31"/>
      <x:c r="R96" s="31"/>
      <x:c r="S96" s="33" t="str">
        <x:f>IF(OR(G96="",P96=""),"",G96-P96)</x:f>
      </x:c>
      <x:c r="T96" s="33" t="str">
        <x:f>IF(S96="","",ABS(S96))</x:f>
      </x:c>
      <x:c r="U96" s="34" t="str">
        <x:f>IF(M96=FALSE,"Not analysed in paper",IF(K96=N96,"Significance agrees",IF(K96=TRUE,"User only","Paper only")))</x:f>
        <x:v>Significance agrees</x:v>
      </x:c>
      <x:c r="V96" s="34" t="str">
        <x:f>IF(M96=FALSE,"Not analysed in paper",IF(L96=FALSE,"User not reliable/significant",IF(N96=FALSE,"Paper not significant",IF(P96="","Exact paper latency unavailable",IF(T96&lt;=10,"Close (&lt;=10 ms)",IF(T96&lt;=20,"Similar (10-20 ms)","Different (&gt;20 ms)"))))))</x:f>
        <x:v>User not reliable/significant</x:v>
      </x:c>
      <x:c r="W96" s="37" t="b">
        <x:v>0</x:v>
      </x:c>
      <x:c r="X96" s="38"/>
      <x:c r="Y96" s="38"/>
      <x:c r="Z96" s="39"/>
      <x:c r="AA96" s="39" t="str">
        <x:f>IF(W96=FALSE,"Not explicitly reported in PDF",IF(AND(G96&gt;=X96,G96&lt;=Y96),"Within PDF value/range",IF(MIN(ABS(G96-X96),ABS(G96-Y96))&lt;=15,"Within 15 ms of PDF","Different from PDF")))</x:f>
        <x:v>Not explicitly reported in PDF</x:v>
      </x:c>
    </x:row>
    <x:row r="97">
      <x:c r="A97" s="20" t="str">
        <x:v>SUT</x:v>
      </x:c>
      <x:c r="B97" s="20" t="str">
        <x:v>Supratrigeminal nucleus</x:v>
      </x:c>
      <x:c r="C97" s="20" t="str">
        <x:v>Hindbrain</x:v>
      </x:c>
      <x:c r="D97" s="24" t="n">
        <x:v>12</x:v>
      </x:c>
      <x:c r="E97" s="24" t="n">
        <x:v>103</x:v>
      </x:c>
      <x:c r="F97" s="25" t="n">
        <x:v>5.225390154795832</x:v>
      </x:c>
      <x:c r="G97" s="25" t="n">
        <x:v>91.52659359477954</x:v>
      </x:c>
      <x:c r="H97" s="26" t="n">
        <x:v>0.0039960039960039</x:v>
      </x:c>
      <x:c r="I97" s="26" t="n">
        <x:v>0.0189810189810189</x:v>
      </x:c>
      <x:c r="J97" s="27" t="b">
        <x:v>1</x:v>
      </x:c>
      <x:c r="K97" s="27" t="b">
        <x:v>0</x:v>
      </x:c>
      <x:c r="L97" s="24" t="b">
        <x:f>AND(J97,K97)</x:f>
        <x:v>0</x:v>
      </x:c>
      <x:c r="M97" s="29" t="b">
        <x:v>1</x:v>
      </x:c>
      <x:c r="N97" s="30" t="n">
        <x:v>1</x:v>
      </x:c>
      <x:c r="O97" s="31" t="n">
        <x:v>-0.26</x:v>
      </x:c>
      <x:c r="P97" s="31"/>
      <x:c r="Q97" s="31"/>
      <x:c r="R97" s="31"/>
      <x:c r="S97" s="33" t="str">
        <x:f>IF(OR(G97="",P97=""),"",G97-P97)</x:f>
      </x:c>
      <x:c r="T97" s="33" t="str">
        <x:f>IF(S97="","",ABS(S97))</x:f>
      </x:c>
      <x:c r="U97" s="34" t="str">
        <x:f>IF(M97=FALSE,"Not analysed in paper",IF(K97=N97,"Significance agrees",IF(K97=TRUE,"User only","Paper only")))</x:f>
        <x:v>Paper only</x:v>
      </x:c>
      <x:c r="V97" s="34" t="str">
        <x:f>IF(M97=FALSE,"Not analysed in paper",IF(L97=FALSE,"User not reliable/significant",IF(N97=FALSE,"Paper not significant",IF(P97="","Exact paper latency unavailable",IF(T97&lt;=10,"Close (&lt;=10 ms)",IF(T97&lt;=20,"Similar (10-20 ms)","Different (&gt;20 ms)"))))))</x:f>
        <x:v>User not reliable/significant</x:v>
      </x:c>
      <x:c r="W97" s="37" t="b">
        <x:v>0</x:v>
      </x:c>
      <x:c r="X97" s="38"/>
      <x:c r="Y97" s="38"/>
      <x:c r="Z97" s="39"/>
      <x:c r="AA97" s="39" t="str">
        <x:f>IF(W97=FALSE,"Not explicitly reported in PDF",IF(AND(G97&gt;=X97,G97&lt;=Y97),"Within PDF value/range",IF(MIN(ABS(G97-X97),ABS(G97-Y97))&lt;=15,"Within 15 ms of PDF","Different from PDF")))</x:f>
        <x:v>Not explicitly reported in PDF</x:v>
      </x:c>
    </x:row>
    <x:row r="98">
      <x:c r="A98" s="20" t="str">
        <x:v>SUV</x:v>
      </x:c>
      <x:c r="B98" s="20" t="str">
        <x:v>Superior vestibular nucleus</x:v>
      </x:c>
      <x:c r="C98" s="20" t="str">
        <x:v>Hindbrain</x:v>
      </x:c>
      <x:c r="D98" s="24" t="n">
        <x:v>13</x:v>
      </x:c>
      <x:c r="E98" s="24" t="n">
        <x:v>277</x:v>
      </x:c>
      <x:c r="F98" s="25" t="n">
        <x:v>12.337419833122798</x:v>
      </x:c>
      <x:c r="G98" s="25" t="n">
        <x:v>122.23502169859896</x:v>
      </x:c>
      <x:c r="H98" s="26" t="n">
        <x:v>0.0099900099900099</x:v>
      </x:c>
      <x:c r="I98" s="26" t="n">
        <x:v>0.0385122124252559</x:v>
      </x:c>
      <x:c r="J98" s="27" t="b">
        <x:v>1</x:v>
      </x:c>
      <x:c r="K98" s="27" t="b">
        <x:v>0</x:v>
      </x:c>
      <x:c r="L98" s="24" t="b">
        <x:f>AND(J98,K98)</x:f>
        <x:v>0</x:v>
      </x:c>
      <x:c r="M98" s="29" t="b">
        <x:v>1</x:v>
      </x:c>
      <x:c r="N98" s="30" t="n">
        <x:v>1</x:v>
      </x:c>
      <x:c r="O98" s="31" t="n">
        <x:v>-0.26</x:v>
      </x:c>
      <x:c r="P98" s="31"/>
      <x:c r="Q98" s="31"/>
      <x:c r="R98" s="31"/>
      <x:c r="S98" s="33" t="str">
        <x:f>IF(OR(G98="",P98=""),"",G98-P98)</x:f>
      </x:c>
      <x:c r="T98" s="33" t="str">
        <x:f>IF(S98="","",ABS(S98))</x:f>
      </x:c>
      <x:c r="U98" s="34" t="str">
        <x:f>IF(M98=FALSE,"Not analysed in paper",IF(K98=N98,"Significance agrees",IF(K98=TRUE,"User only","Paper only")))</x:f>
        <x:v>Paper only</x:v>
      </x:c>
      <x:c r="V98" s="34" t="str">
        <x:f>IF(M98=FALSE,"Not analysed in paper",IF(L98=FALSE,"User not reliable/significant",IF(N98=FALSE,"Paper not significant",IF(P98="","Exact paper latency unavailable",IF(T98&lt;=10,"Close (&lt;=10 ms)",IF(T98&lt;=20,"Similar (10-20 ms)","Different (&gt;20 ms)"))))))</x:f>
        <x:v>User not reliable/significant</x:v>
      </x:c>
      <x:c r="W98" s="37" t="b">
        <x:v>0</x:v>
      </x:c>
      <x:c r="X98" s="38"/>
      <x:c r="Y98" s="38"/>
      <x:c r="Z98" s="39"/>
      <x:c r="AA98" s="39" t="str">
        <x:f>IF(W98=FALSE,"Not explicitly reported in PDF",IF(AND(G98&gt;=X98,G98&lt;=Y98),"Within PDF value/range",IF(MIN(ABS(G98-X98),ABS(G98-Y98))&lt;=15,"Within 15 ms of PDF","Different from PDF")))</x:f>
        <x:v>Not explicitly reported in PDF</x:v>
      </x:c>
    </x:row>
    <x:row r="99">
      <x:c r="A99" s="20" t="str">
        <x:v>TRN</x:v>
      </x:c>
      <x:c r="B99" s="20" t="str">
        <x:v>Tegmental reticular nucleus</x:v>
      </x:c>
      <x:c r="C99" s="20" t="str">
        <x:v>Hindbrain</x:v>
      </x:c>
      <x:c r="D99" s="24" t="n">
        <x:v>10</x:v>
      </x:c>
      <x:c r="E99" s="24" t="n">
        <x:v>193</x:v>
      </x:c>
      <x:c r="F99" s="25" t="n">
        <x:v>10.764461353099348</x:v>
      </x:c>
      <x:c r="G99" s="25" t="n">
        <x:v>106.67807200169092</x:v>
      </x:c>
      <x:c r="H99" s="26" t="n">
        <x:v>0.0009990009990009</x:v>
      </x:c>
      <x:c r="I99" s="26" t="n">
        <x:v>0.0066433566433566</x:v>
      </x:c>
      <x:c r="J99" s="27" t="b">
        <x:v>1</x:v>
      </x:c>
      <x:c r="K99" s="27" t="b">
        <x:v>1</x:v>
      </x:c>
      <x:c r="L99" s="24" t="b">
        <x:f>AND(J99,K99)</x:f>
        <x:v>1</x:v>
      </x:c>
      <x:c r="M99" s="29" t="b">
        <x:v>1</x:v>
      </x:c>
      <x:c r="N99" s="30" t="n">
        <x:v>1</x:v>
      </x:c>
      <x:c r="O99" s="31" t="n">
        <x:v>-0.08</x:v>
      </x:c>
      <x:c r="P99" s="31"/>
      <x:c r="Q99" s="31"/>
      <x:c r="R99" s="31"/>
      <x:c r="S99" s="33" t="str">
        <x:f>IF(OR(G99="",P99=""),"",G99-P99)</x:f>
      </x:c>
      <x:c r="T99" s="33" t="str">
        <x:f>IF(S99="","",ABS(S99))</x:f>
      </x:c>
      <x:c r="U99" s="34" t="str">
        <x:f>IF(M99=FALSE,"Not analysed in paper",IF(K99=N99,"Significance agrees",IF(K99=TRUE,"User only","Paper only")))</x:f>
        <x:v>Significance agrees</x:v>
      </x:c>
      <x:c r="V99" s="34" t="str">
        <x:f>IF(M99=FALSE,"Not analysed in paper",IF(L99=FALSE,"User not reliable/significant",IF(N99=FALSE,"Paper not significant",IF(P99="","Exact paper latency unavailable",IF(T99&lt;=10,"Close (&lt;=10 ms)",IF(T99&lt;=20,"Similar (10-20 ms)","Different (&gt;20 ms)"))))))</x:f>
        <x:v>Exact paper latency unavailable</x:v>
      </x:c>
      <x:c r="W99" s="37" t="b">
        <x:v>0</x:v>
      </x:c>
      <x:c r="X99" s="38"/>
      <x:c r="Y99" s="38"/>
      <x:c r="Z99" s="39"/>
      <x:c r="AA99" s="39" t="str">
        <x:f>IF(W99=FALSE,"Not explicitly reported in PDF",IF(AND(G99&gt;=X99,G99&lt;=Y99),"Within PDF value/range",IF(MIN(ABS(G99-X99),ABS(G99-Y99))&lt;=15,"Within 15 ms of PDF","Different from PDF")))</x:f>
        <x:v>Not explicitly reported in PDF</x:v>
      </x:c>
    </x:row>
    <x:row r="100">
      <x:c r="A100" s="20" t="str">
        <x:v>V</x:v>
      </x:c>
      <x:c r="B100" s="20" t="str">
        <x:v>Motor nucleus of trigeminal</x:v>
      </x:c>
      <x:c r="C100" s="20" t="str">
        <x:v>Hindbrain</x:v>
      </x:c>
      <x:c r="D100" s="24" t="n">
        <x:v>9</x:v>
      </x:c>
      <x:c r="E100" s="24" t="n">
        <x:v>166</x:v>
      </x:c>
      <x:c r="F100" s="25" t="n">
        <x:v>11.057753750421458</x:v>
      </x:c>
      <x:c r="G100" s="25" t="n">
        <x:v>104.63417774740148</x:v>
      </x:c>
      <x:c r="H100" s="26" t="n">
        <x:v>0.0009990009990009</x:v>
      </x:c>
      <x:c r="I100" s="26" t="n">
        <x:v>0.0066433566433566</x:v>
      </x:c>
      <x:c r="J100" s="27" t="b">
        <x:v>1</x:v>
      </x:c>
      <x:c r="K100" s="27" t="b">
        <x:v>1</x:v>
      </x:c>
      <x:c r="L100" s="24" t="b">
        <x:f>AND(J100,K100)</x:f>
        <x:v>1</x:v>
      </x:c>
      <x:c r="M100" s="29" t="b">
        <x:v>1</x:v>
      </x:c>
      <x:c r="N100" s="30" t="n">
        <x:v>1</x:v>
      </x:c>
      <x:c r="O100" s="31" t="n">
        <x:v>-0.08</x:v>
      </x:c>
      <x:c r="P100" s="31" t="n">
        <x:v>91.4893617021276</x:v>
      </x:c>
      <x:c r="Q100" s="31" t="n">
        <x:v>1.3953751749995396</x:v>
      </x:c>
      <x:c r="R100" s="31" t="n">
        <x:v>1</x:v>
      </x:c>
      <x:c r="S100" s="33" t="n">
        <x:f>IF(OR(G100="",P100=""),"",G100-P100)</x:f>
        <x:v>13.144816045273885</x:v>
      </x:c>
      <x:c r="T100" s="33" t="n">
        <x:f>IF(S100="","",ABS(S100))</x:f>
        <x:v>13.144816045273885</x:v>
      </x:c>
      <x:c r="U100" s="34" t="str">
        <x:f>IF(M100=FALSE,"Not analysed in paper",IF(K100=N100,"Significance agrees",IF(K100=TRUE,"User only","Paper only")))</x:f>
        <x:v>Significance agrees</x:v>
      </x:c>
      <x:c r="V100" s="34" t="str">
        <x:f>IF(M100=FALSE,"Not analysed in paper",IF(L100=FALSE,"User not reliable/significant",IF(N100=FALSE,"Paper not significant",IF(P100="","Exact paper latency unavailable",IF(T100&lt;=10,"Close (&lt;=10 ms)",IF(T100&lt;=20,"Similar (10-20 ms)","Different (&gt;20 ms)"))))))</x:f>
        <x:v>Similar (10-20 ms)</x:v>
      </x:c>
      <x:c r="W100" s="37" t="b">
        <x:v>0</x:v>
      </x:c>
      <x:c r="X100" s="38"/>
      <x:c r="Y100" s="38"/>
      <x:c r="Z100" s="39"/>
      <x:c r="AA100" s="39" t="str">
        <x:f>IF(W100=FALSE,"Not explicitly reported in PDF",IF(AND(G100&gt;=X100,G100&lt;=Y100),"Within PDF value/range",IF(MIN(ABS(G100-X100),ABS(G100-Y100))&lt;=15,"Within 15 ms of PDF","Different from PDF")))</x:f>
        <x:v>Not explicitly reported in PDF</x:v>
      </x:c>
    </x:row>
    <x:row r="101">
      <x:c r="A101" s="20" t="str">
        <x:v>VCO</x:v>
      </x:c>
      <x:c r="B101" s="20" t="str">
        <x:v>Ventral cochlear nucleus</x:v>
      </x:c>
      <x:c r="C101" s="20" t="str">
        <x:v>Hindbrain</x:v>
      </x:c>
      <x:c r="D101" s="24" t="n">
        <x:v>5</x:v>
      </x:c>
      <x:c r="E101" s="24" t="n">
        <x:v>141</x:v>
      </x:c>
      <x:c r="F101" s="25" t="n">
        <x:v>4.0114258992138545</x:v>
      </x:c>
      <x:c r="G101" s="25" t="n">
        <x:v>117.10055405470855</x:v>
      </x:c>
      <x:c r="H101" s="26" t="n">
        <x:v>0.0029970029970029</x:v>
      </x:c>
      <x:c r="I101" s="26" t="n">
        <x:v>0.0150415622113735</x:v>
      </x:c>
      <x:c r="J101" s="27" t="b">
        <x:v>1</x:v>
      </x:c>
      <x:c r="K101" s="27" t="b">
        <x:v>0</x:v>
      </x:c>
      <x:c r="L101" s="24" t="b">
        <x:f>AND(J101,K101)</x:f>
        <x:v>0</x:v>
      </x:c>
      <x:c r="M101" s="29" t="b">
        <x:v>1</x:v>
      </x:c>
      <x:c r="N101" s="30" t="n">
        <x:v>1</x:v>
      </x:c>
      <x:c r="O101" s="31" t="n">
        <x:v>-0.4</x:v>
      </x:c>
      <x:c r="P101" s="31" t="n">
        <x:v>68.0851063829787</x:v>
      </x:c>
      <x:c r="Q101" s="31" t="n">
        <x:v>0.558958633706585</x:v>
      </x:c>
      <x:c r="R101" s="31" t="n">
        <x:v>0</x:v>
      </x:c>
      <x:c r="S101" s="33" t="n">
        <x:f>IF(OR(G101="",P101=""),"",G101-P101)</x:f>
        <x:v>49.01544767172986</x:v>
      </x:c>
      <x:c r="T101" s="33" t="n">
        <x:f>IF(S101="","",ABS(S101))</x:f>
        <x:v>49.01544767172986</x:v>
      </x:c>
      <x:c r="U101" s="34" t="str">
        <x:f>IF(M101=FALSE,"Not analysed in paper",IF(K101=N101,"Significance agrees",IF(K101=TRUE,"User only","Paper only")))</x:f>
        <x:v>Paper only</x:v>
      </x:c>
      <x:c r="V101" s="34" t="str">
        <x:f>IF(M101=FALSE,"Not analysed in paper",IF(L101=FALSE,"User not reliable/significant",IF(N101=FALSE,"Paper not significant",IF(P101="","Exact paper latency unavailable",IF(T101&lt;=10,"Close (&lt;=10 ms)",IF(T101&lt;=20,"Similar (10-20 ms)","Different (&gt;20 ms)"))))))</x:f>
        <x:v>User not reliable/significant</x:v>
      </x:c>
      <x:c r="W101" s="37" t="b">
        <x:v>0</x:v>
      </x:c>
      <x:c r="X101" s="38"/>
      <x:c r="Y101" s="38"/>
      <x:c r="Z101" s="39"/>
      <x:c r="AA101" s="39" t="str">
        <x:f>IF(W101=FALSE,"Not explicitly reported in PDF",IF(AND(G101&gt;=X101,G101&lt;=Y101),"Within PDF value/range",IF(MIN(ABS(G101-X101),ABS(G101-Y101))&lt;=15,"Within 15 ms of PDF","Different from PDF")))</x:f>
        <x:v>Not explicitly reported in PDF</x:v>
      </x:c>
    </x:row>
    <x:row r="102">
      <x:c r="A102" s="20" t="str">
        <x:v>VII</x:v>
      </x:c>
      <x:c r="B102" s="20" t="str">
        <x:v>Facial motor nucleus</x:v>
      </x:c>
      <x:c r="C102" s="20" t="str">
        <x:v>Hindbrain</x:v>
      </x:c>
      <x:c r="D102" s="24" t="n">
        <x:v>6</x:v>
      </x:c>
      <x:c r="E102" s="24" t="n">
        <x:v>63</x:v>
      </x:c>
      <x:c r="F102" s="25" t="n">
        <x:v>11.939411569620736</x:v>
      </x:c>
      <x:c r="G102" s="25" t="n">
        <x:v>122.36703146646023</x:v>
      </x:c>
      <x:c r="H102" s="26" t="n">
        <x:v>0.0009990009990009</x:v>
      </x:c>
      <x:c r="I102" s="26" t="n">
        <x:v>0.0066433566433566</x:v>
      </x:c>
      <x:c r="J102" s="27" t="b">
        <x:v>1</x:v>
      </x:c>
      <x:c r="K102" s="27" t="b">
        <x:v>1</x:v>
      </x:c>
      <x:c r="L102" s="24" t="b">
        <x:f>AND(J102,K102)</x:f>
        <x:v>1</x:v>
      </x:c>
      <x:c r="M102" s="29" t="b">
        <x:v>1</x:v>
      </x:c>
      <x:c r="N102" s="30" t="n">
        <x:v>1</x:v>
      </x:c>
      <x:c r="O102" s="31" t="n">
        <x:v>-0.31</x:v>
      </x:c>
      <x:c r="P102" s="31"/>
      <x:c r="Q102" s="31"/>
      <x:c r="R102" s="31"/>
      <x:c r="S102" s="33" t="str">
        <x:f>IF(OR(G102="",P102=""),"",G102-P102)</x:f>
      </x:c>
      <x:c r="T102" s="33" t="str">
        <x:f>IF(S102="","",ABS(S102))</x:f>
      </x:c>
      <x:c r="U102" s="34" t="str">
        <x:f>IF(M102=FALSE,"Not analysed in paper",IF(K102=N102,"Significance agrees",IF(K102=TRUE,"User only","Paper only")))</x:f>
        <x:v>Significance agrees</x:v>
      </x:c>
      <x:c r="V102" s="34" t="str">
        <x:f>IF(M102=FALSE,"Not analysed in paper",IF(L102=FALSE,"User not reliable/significant",IF(N102=FALSE,"Paper not significant",IF(P102="","Exact paper latency unavailable",IF(T102&lt;=10,"Close (&lt;=10 ms)",IF(T102&lt;=20,"Similar (10-20 ms)","Different (&gt;20 ms)"))))))</x:f>
        <x:v>Exact paper latency unavailable</x:v>
      </x:c>
      <x:c r="W102" s="37" t="b">
        <x:v>0</x:v>
      </x:c>
      <x:c r="X102" s="38"/>
      <x:c r="Y102" s="38"/>
      <x:c r="Z102" s="39"/>
      <x:c r="AA102" s="39" t="str">
        <x:f>IF(W102=FALSE,"Not explicitly reported in PDF",IF(AND(G102&gt;=X102,G102&lt;=Y102),"Within PDF value/range",IF(MIN(ABS(G102-X102),ABS(G102-Y102))&lt;=15,"Within 15 ms of PDF","Different from PDF")))</x:f>
        <x:v>Not explicitly reported in PDF</x:v>
      </x:c>
    </x:row>
    <x:row r="103">
      <x:c r="A103" s="20" t="str">
        <x:v>XII</x:v>
      </x:c>
      <x:c r="B103" s="20" t="str">
        <x:v>Hypoglossal nucleus</x:v>
      </x:c>
      <x:c r="C103" s="20" t="str">
        <x:v>Hindbrain</x:v>
      </x:c>
      <x:c r="D103" s="24" t="n">
        <x:v>2</x:v>
      </x:c>
      <x:c r="E103" s="24" t="n">
        <x:v>12</x:v>
      </x:c>
      <x:c r="F103" s="25" t="n">
        <x:v>2.134446830616489</x:v>
      </x:c>
      <x:c r="G103" s="25" t="n">
        <x:v>132.21611456764305</x:v>
      </x:c>
      <x:c r="H103" s="26" t="n">
        <x:v>0.8401598401598401</x:v>
      </x:c>
      <x:c r="I103" s="26" t="n">
        <x:v>0.9084655182216156</x:v>
      </x:c>
      <x:c r="J103" s="27" t="b">
        <x:v>0</x:v>
      </x:c>
      <x:c r="K103" s="27" t="b">
        <x:v>0</x:v>
      </x:c>
      <x:c r="L103" s="24" t="b">
        <x:f>AND(J103,K103)</x:f>
        <x:v>0</x:v>
      </x:c>
      <x:c r="M103" s="29" t="b">
        <x:v>0</x:v>
      </x:c>
      <x:c r="N103" s="30"/>
      <x:c r="O103" s="31"/>
      <x:c r="P103" s="31"/>
      <x:c r="Q103" s="31"/>
      <x:c r="R103" s="31"/>
      <x:c r="S103" s="33" t="str">
        <x:f>IF(OR(G103="",P103=""),"",G103-P103)</x:f>
      </x:c>
      <x:c r="T103" s="33" t="str">
        <x:f>IF(S103="","",ABS(S103))</x:f>
      </x:c>
      <x:c r="U103" s="34" t="str">
        <x:f>IF(M103=FALSE,"Not analysed in paper",IF(K103=N103,"Significance agrees",IF(K103=TRUE,"User only","Paper only")))</x:f>
        <x:v>Not analysed in paper</x:v>
      </x:c>
      <x:c r="V103" s="34" t="str">
        <x:f>IF(M103=FALSE,"Not analysed in paper",IF(L103=FALSE,"User not reliable/significant",IF(N103=FALSE,"Paper not significant",IF(P103="","Exact paper latency unavailable",IF(T103&lt;=10,"Close (&lt;=10 ms)",IF(T103&lt;=20,"Similar (10-20 ms)","Different (&gt;20 ms)"))))))</x:f>
        <x:v>Not analysed in paper</x:v>
      </x:c>
      <x:c r="W103" s="37" t="b">
        <x:v>0</x:v>
      </x:c>
      <x:c r="X103" s="38"/>
      <x:c r="Y103" s="38"/>
      <x:c r="Z103" s="39"/>
      <x:c r="AA103" s="39" t="str">
        <x:f>IF(W103=FALSE,"Not explicitly reported in PDF",IF(AND(G103&gt;=X103,G103&lt;=Y103),"Within PDF value/range",IF(MIN(ABS(G103-X103),ABS(G103-Y103))&lt;=15,"Within 15 ms of PDF","Different from PDF")))</x:f>
        <x:v>Not explicitly reported in PDF</x:v>
      </x:c>
    </x:row>
    <x:row r="104">
      <x:c r="A104" s="20" t="str">
        <x:v>x</x:v>
      </x:c>
      <x:c r="B104" s="20" t="str">
        <x:v>Nucleus x</x:v>
      </x:c>
      <x:c r="C104" s="20" t="str">
        <x:v>Hindbrain</x:v>
      </x:c>
      <x:c r="D104" s="24" t="n">
        <x:v>4</x:v>
      </x:c>
      <x:c r="E104" s="24" t="n">
        <x:v>45</x:v>
      </x:c>
      <x:c r="F104" s="25" t="n">
        <x:v>2.519077779632976</x:v>
      </x:c>
      <x:c r="G104" s="25" t="n">
        <x:v>5</x:v>
      </x:c>
      <x:c r="H104" s="26" t="n">
        <x:v>0.5844155844155844</x:v>
      </x:c>
      <x:c r="I104" s="26" t="n">
        <x:v>0.7002457002457002</x:v>
      </x:c>
      <x:c r="J104" s="27" t="b">
        <x:v>1</x:v>
      </x:c>
      <x:c r="K104" s="27" t="b">
        <x:v>0</x:v>
      </x:c>
      <x:c r="L104" s="24" t="b">
        <x:f>AND(J104,K104)</x:f>
        <x:v>0</x:v>
      </x:c>
      <x:c r="M104" s="29" t="b">
        <x:v>1</x:v>
      </x:c>
      <x:c r="N104" s="30" t="n">
        <x:v>0</x:v>
      </x:c>
      <x:c r="O104" s="31" t="n">
        <x:v>-0.51</x:v>
      </x:c>
      <x:c r="P104" s="31"/>
      <x:c r="Q104" s="31"/>
      <x:c r="R104" s="31"/>
      <x:c r="S104" s="33" t="str">
        <x:f>IF(OR(G104="",P104=""),"",G104-P104)</x:f>
      </x:c>
      <x:c r="T104" s="33" t="str">
        <x:f>IF(S104="","",ABS(S104))</x:f>
      </x:c>
      <x:c r="U104" s="34" t="str">
        <x:f>IF(M104=FALSE,"Not analysed in paper",IF(K104=N104,"Significance agrees",IF(K104=TRUE,"User only","Paper only")))</x:f>
        <x:v>Significance agrees</x:v>
      </x:c>
      <x:c r="V104" s="34" t="str">
        <x:f>IF(M104=FALSE,"Not analysed in paper",IF(L104=FALSE,"User not reliable/significant",IF(N104=FALSE,"Paper not significant",IF(P104="","Exact paper latency unavailable",IF(T104&lt;=10,"Close (&lt;=10 ms)",IF(T104&lt;=20,"Similar (10-20 ms)","Different (&gt;20 ms)"))))))</x:f>
        <x:v>User not reliable/significant</x:v>
      </x:c>
      <x:c r="W104" s="37" t="b">
        <x:v>0</x:v>
      </x:c>
      <x:c r="X104" s="38"/>
      <x:c r="Y104" s="38"/>
      <x:c r="Z104" s="39"/>
      <x:c r="AA104" s="39" t="str">
        <x:f>IF(W104=FALSE,"Not explicitly reported in PDF",IF(AND(G104&gt;=X104,G104&lt;=Y104),"Within PDF value/range",IF(MIN(ABS(G104-X104),ABS(G104-Y104))&lt;=15,"Within 15 ms of PDF","Different from PDF")))</x:f>
        <x:v>Not explicitly reported in PDF</x:v>
      </x:c>
    </x:row>
    <x:row r="105">
      <x:c r="A105" s="20" t="str">
        <x:v>y</x:v>
      </x:c>
      <x:c r="B105" s="20" t="str">
        <x:v>Nucleus y</x:v>
      </x:c>
      <x:c r="C105" s="20" t="str">
        <x:v>Hindbrain</x:v>
      </x:c>
      <x:c r="D105" s="24" t="n">
        <x:v>1</x:v>
      </x:c>
      <x:c r="E105" s="24" t="n">
        <x:v>6</x:v>
      </x:c>
      <x:c r="F105" s="25" t="n">
        <x:v>6.950242585061227</x:v>
      </x:c>
      <x:c r="G105" s="25" t="n">
        <x:v>31.891374348803097</x:v>
      </x:c>
      <x:c r="H105" s="26" t="n">
        <x:v>0.3946053946053946</x:v>
      </x:c>
      <x:c r="I105" s="26" t="n">
        <x:v>0.538282230589923</x:v>
      </x:c>
      <x:c r="J105" s="27" t="b">
        <x:v>0</x:v>
      </x:c>
      <x:c r="K105" s="27" t="b">
        <x:v>0</x:v>
      </x:c>
      <x:c r="L105" s="24" t="b">
        <x:f>AND(J105,K105)</x:f>
        <x:v>0</x:v>
      </x:c>
      <x:c r="M105" s="29" t="b">
        <x:v>0</x:v>
      </x:c>
      <x:c r="N105" s="30"/>
      <x:c r="O105" s="31"/>
      <x:c r="P105" s="31"/>
      <x:c r="Q105" s="31"/>
      <x:c r="R105" s="31"/>
      <x:c r="S105" s="33" t="str">
        <x:f>IF(OR(G105="",P105=""),"",G105-P105)</x:f>
      </x:c>
      <x:c r="T105" s="33" t="str">
        <x:f>IF(S105="","",ABS(S105))</x:f>
      </x:c>
      <x:c r="U105" s="34" t="str">
        <x:f>IF(M105=FALSE,"Not analysed in paper",IF(K105=N105,"Significance agrees",IF(K105=TRUE,"User only","Paper only")))</x:f>
        <x:v>Not analysed in paper</x:v>
      </x:c>
      <x:c r="V105" s="34" t="str">
        <x:f>IF(M105=FALSE,"Not analysed in paper",IF(L105=FALSE,"User not reliable/significant",IF(N105=FALSE,"Paper not significant",IF(P105="","Exact paper latency unavailable",IF(T105&lt;=10,"Close (&lt;=10 ms)",IF(T105&lt;=20,"Similar (10-20 ms)","Different (&gt;20 ms)"))))))</x:f>
        <x:v>Not analysed in paper</x:v>
      </x:c>
      <x:c r="W105" s="37" t="b">
        <x:v>0</x:v>
      </x:c>
      <x:c r="X105" s="38"/>
      <x:c r="Y105" s="38"/>
      <x:c r="Z105" s="39"/>
      <x:c r="AA105" s="39" t="str">
        <x:f>IF(W105=FALSE,"Not explicitly reported in PDF",IF(AND(G105&gt;=X105,G105&lt;=Y105),"Within PDF value/range",IF(MIN(ABS(G105-X105),ABS(G105-Y105))&lt;=15,"Within 15 ms of PDF","Different from PDF")))</x:f>
        <x:v>Not explicitly reported in PDF</x:v>
      </x:c>
    </x:row>
    <x:row r="106">
      <x:c r="A106" s="20" t="str">
        <x:v>APr</x:v>
      </x:c>
      <x:c r="B106" s="20" t="str">
        <x:v>Area prostriata</x:v>
      </x:c>
      <x:c r="C106" s="20" t="str">
        <x:v>Hippocampal formation</x:v>
      </x:c>
      <x:c r="D106" s="24" t="n">
        <x:v>5</x:v>
      </x:c>
      <x:c r="E106" s="24" t="n">
        <x:v>16</x:v>
      </x:c>
      <x:c r="F106" s="25" t="n">
        <x:v>3.958589547929386</x:v>
      </x:c>
      <x:c r="G106" s="25" t="n">
        <x:v>110.50805355814704</x:v>
      </x:c>
      <x:c r="H106" s="26" t="n">
        <x:v>0.5844155844155844</x:v>
      </x:c>
      <x:c r="I106" s="26" t="n">
        <x:v>0.7002457002457002</x:v>
      </x:c>
      <x:c r="J106" s="27" t="b">
        <x:v>0</x:v>
      </x:c>
      <x:c r="K106" s="27" t="b">
        <x:v>0</x:v>
      </x:c>
      <x:c r="L106" s="24" t="b">
        <x:f>AND(J106,K106)</x:f>
        <x:v>0</x:v>
      </x:c>
      <x:c r="M106" s="29" t="b">
        <x:v>0</x:v>
      </x:c>
      <x:c r="N106" s="30"/>
      <x:c r="O106" s="31"/>
      <x:c r="P106" s="31"/>
      <x:c r="Q106" s="31"/>
      <x:c r="R106" s="31"/>
      <x:c r="S106" s="33" t="str">
        <x:f>IF(OR(G106="",P106=""),"",G106-P106)</x:f>
      </x:c>
      <x:c r="T106" s="33" t="str">
        <x:f>IF(S106="","",ABS(S106))</x:f>
      </x:c>
      <x:c r="U106" s="34" t="str">
        <x:f>IF(M106=FALSE,"Not analysed in paper",IF(K106=N106,"Significance agrees",IF(K106=TRUE,"User only","Paper only")))</x:f>
        <x:v>Not analysed in paper</x:v>
      </x:c>
      <x:c r="V106" s="34" t="str">
        <x:f>IF(M106=FALSE,"Not analysed in paper",IF(L106=FALSE,"User not reliable/significant",IF(N106=FALSE,"Paper not significant",IF(P106="","Exact paper latency unavailable",IF(T106&lt;=10,"Close (&lt;=10 ms)",IF(T106&lt;=20,"Similar (10-20 ms)","Different (&gt;20 ms)"))))))</x:f>
        <x:v>Not analysed in paper</x:v>
      </x:c>
      <x:c r="W106" s="37" t="b">
        <x:v>0</x:v>
      </x:c>
      <x:c r="X106" s="38"/>
      <x:c r="Y106" s="38"/>
      <x:c r="Z106" s="39"/>
      <x:c r="AA106" s="39" t="str">
        <x:f>IF(W106=FALSE,"Not explicitly reported in PDF",IF(AND(G106&gt;=X106,G106&lt;=Y106),"Within PDF value/range",IF(MIN(ABS(G106-X106),ABS(G106-Y106))&lt;=15,"Within 15 ms of PDF","Different from PDF")))</x:f>
        <x:v>Not explicitly reported in PDF</x:v>
      </x:c>
    </x:row>
    <x:row r="107">
      <x:c r="A107" s="20" t="str">
        <x:v>CA1</x:v>
      </x:c>
      <x:c r="B107" s="20" t="str">
        <x:v>Field CA1</x:v>
      </x:c>
      <x:c r="C107" s="20" t="str">
        <x:v>Hippocampal formation</x:v>
      </x:c>
      <x:c r="D107" s="24" t="n">
        <x:v>154</x:v>
      </x:c>
      <x:c r="E107" s="24" t="n">
        <x:v>1807</x:v>
      </x:c>
      <x:c r="F107" s="25" t="n">
        <x:v>1.3405702491977252</x:v>
      </x:c>
      <x:c r="G107" s="25" t="n">
        <x:v>131.82426525047788</x:v>
      </x:c>
      <x:c r="H107" s="26" t="n">
        <x:v>0.0009990009990009</x:v>
      </x:c>
      <x:c r="I107" s="26" t="n">
        <x:v>0.0066433566433566</x:v>
      </x:c>
      <x:c r="J107" s="27" t="b">
        <x:v>1</x:v>
      </x:c>
      <x:c r="K107" s="27" t="b">
        <x:v>1</x:v>
      </x:c>
      <x:c r="L107" s="24" t="b">
        <x:f>AND(J107,K107)</x:f>
        <x:v>1</x:v>
      </x:c>
      <x:c r="M107" s="29" t="b">
        <x:v>1</x:v>
      </x:c>
      <x:c r="N107" s="30" t="n">
        <x:v>1</x:v>
      </x:c>
      <x:c r="O107" s="31" t="n">
        <x:v>-1.14</x:v>
      </x:c>
      <x:c r="P107" s="31" t="n">
        <x:v>72.3404255319149</x:v>
      </x:c>
      <x:c r="Q107" s="31" t="n">
        <x:v>0.084609695227108</x:v>
      </x:c>
      <x:c r="R107" s="31" t="n">
        <x:v>1</x:v>
      </x:c>
      <x:c r="S107" s="33" t="n">
        <x:f>IF(OR(G107="",P107=""),"",G107-P107)</x:f>
        <x:v>59.483839718562976</x:v>
      </x:c>
      <x:c r="T107" s="33" t="n">
        <x:f>IF(S107="","",ABS(S107))</x:f>
        <x:v>59.483839718562976</x:v>
      </x:c>
      <x:c r="U107" s="34" t="str">
        <x:f>IF(M107=FALSE,"Not analysed in paper",IF(K107=N107,"Significance agrees",IF(K107=TRUE,"User only","Paper only")))</x:f>
        <x:v>Significance agrees</x:v>
      </x:c>
      <x:c r="V107" s="34" t="str">
        <x:f>IF(M107=FALSE,"Not analysed in paper",IF(L107=FALSE,"User not reliable/significant",IF(N107=FALSE,"Paper not significant",IF(P107="","Exact paper latency unavailable",IF(T107&lt;=10,"Close (&lt;=10 ms)",IF(T107&lt;=20,"Similar (10-20 ms)","Different (&gt;20 ms)"))))))</x:f>
        <x:v>Different (&gt;20 ms)</x:v>
      </x:c>
      <x:c r="W107" s="37" t="b">
        <x:v>0</x:v>
      </x:c>
      <x:c r="X107" s="38"/>
      <x:c r="Y107" s="38"/>
      <x:c r="Z107" s="39"/>
      <x:c r="AA107" s="39" t="str">
        <x:f>IF(W107=FALSE,"Not explicitly reported in PDF",IF(AND(G107&gt;=X107,G107&lt;=Y107),"Within PDF value/range",IF(MIN(ABS(G107-X107),ABS(G107-Y107))&lt;=15,"Within 15 ms of PDF","Different from PDF")))</x:f>
        <x:v>Not explicitly reported in PDF</x:v>
      </x:c>
    </x:row>
    <x:row r="108">
      <x:c r="A108" s="20" t="str">
        <x:v>CA2</x:v>
      </x:c>
      <x:c r="B108" s="20" t="str">
        <x:v>Field CA2</x:v>
      </x:c>
      <x:c r="C108" s="20" t="str">
        <x:v>Hippocampal formation</x:v>
      </x:c>
      <x:c r="D108" s="24" t="n">
        <x:v>18</x:v>
      </x:c>
      <x:c r="E108" s="24" t="n">
        <x:v>39</x:v>
      </x:c>
      <x:c r="F108" s="25" t="n">
        <x:v>2.9489475792253774</x:v>
      </x:c>
      <x:c r="G108" s="25" t="n">
        <x:v>113.1119724828064</x:v>
      </x:c>
      <x:c r="H108" s="26" t="n">
        <x:v>0.7652347652347652</x:v>
      </x:c>
      <x:c r="I108" s="26" t="n">
        <x:v>0.8446159649479151</x:v>
      </x:c>
      <x:c r="J108" s="27" t="b">
        <x:v>1</x:v>
      </x:c>
      <x:c r="K108" s="27" t="b">
        <x:v>0</x:v>
      </x:c>
      <x:c r="L108" s="24" t="b">
        <x:f>AND(J108,K108)</x:f>
        <x:v>0</x:v>
      </x:c>
      <x:c r="M108" s="29" t="b">
        <x:v>0</x:v>
      </x:c>
      <x:c r="N108" s="30"/>
      <x:c r="O108" s="31"/>
      <x:c r="P108" s="31"/>
      <x:c r="Q108" s="31"/>
      <x:c r="R108" s="31"/>
      <x:c r="S108" s="33" t="str">
        <x:f>IF(OR(G108="",P108=""),"",G108-P108)</x:f>
      </x:c>
      <x:c r="T108" s="33" t="str">
        <x:f>IF(S108="","",ABS(S108))</x:f>
      </x:c>
      <x:c r="U108" s="34" t="str">
        <x:f>IF(M108=FALSE,"Not analysed in paper",IF(K108=N108,"Significance agrees",IF(K108=TRUE,"User only","Paper only")))</x:f>
        <x:v>Not analysed in paper</x:v>
      </x:c>
      <x:c r="V108" s="34" t="str">
        <x:f>IF(M108=FALSE,"Not analysed in paper",IF(L108=FALSE,"User not reliable/significant",IF(N108=FALSE,"Paper not significant",IF(P108="","Exact paper latency unavailable",IF(T108&lt;=10,"Close (&lt;=10 ms)",IF(T108&lt;=20,"Similar (10-20 ms)","Different (&gt;20 ms)"))))))</x:f>
        <x:v>Not analysed in paper</x:v>
      </x:c>
      <x:c r="W108" s="37" t="b">
        <x:v>0</x:v>
      </x:c>
      <x:c r="X108" s="38"/>
      <x:c r="Y108" s="38"/>
      <x:c r="Z108" s="39"/>
      <x:c r="AA108" s="39" t="str">
        <x:f>IF(W108=FALSE,"Not explicitly reported in PDF",IF(AND(G108&gt;=X108,G108&lt;=Y108),"Within PDF value/range",IF(MIN(ABS(G108-X108),ABS(G108-Y108))&lt;=15,"Within 15 ms of PDF","Different from PDF")))</x:f>
        <x:v>Not explicitly reported in PDF</x:v>
      </x:c>
    </x:row>
    <x:row r="109">
      <x:c r="A109" s="20" t="str">
        <x:v>CA3</x:v>
      </x:c>
      <x:c r="B109" s="20" t="str">
        <x:v>Field CA3</x:v>
      </x:c>
      <x:c r="C109" s="20" t="str">
        <x:v>Hippocampal formation</x:v>
      </x:c>
      <x:c r="D109" s="24" t="n">
        <x:v>79</x:v>
      </x:c>
      <x:c r="E109" s="24" t="n">
        <x:v>950</x:v>
      </x:c>
      <x:c r="F109" s="25" t="n">
        <x:v>1.8448070669812895</x:v>
      </x:c>
      <x:c r="G109" s="25" t="n">
        <x:v>108.05216986898915</x:v>
      </x:c>
      <x:c r="H109" s="26" t="n">
        <x:v>0.0839160839160839</x:v>
      </x:c>
      <x:c r="I109" s="26" t="n">
        <x:v>0.1800135348522445</x:v>
      </x:c>
      <x:c r="J109" s="27" t="b">
        <x:v>1</x:v>
      </x:c>
      <x:c r="K109" s="27" t="b">
        <x:v>0</x:v>
      </x:c>
      <x:c r="L109" s="24" t="b">
        <x:f>AND(J109,K109)</x:f>
        <x:v>0</x:v>
      </x:c>
      <x:c r="M109" s="29" t="b">
        <x:v>1</x:v>
      </x:c>
      <x:c r="N109" s="30" t="n">
        <x:v>1</x:v>
      </x:c>
      <x:c r="O109" s="31" t="n">
        <x:v>-0.76</x:v>
      </x:c>
      <x:c r="P109" s="31" t="n">
        <x:v>70.2127659574468</x:v>
      </x:c>
      <x:c r="Q109" s="31" t="n">
        <x:v>0.1406226903476712</x:v>
      </x:c>
      <x:c r="R109" s="31" t="n">
        <x:v>1</x:v>
      </x:c>
      <x:c r="S109" s="33" t="n">
        <x:f>IF(OR(G109="",P109=""),"",G109-P109)</x:f>
        <x:v>37.83940391154235</x:v>
      </x:c>
      <x:c r="T109" s="33" t="n">
        <x:f>IF(S109="","",ABS(S109))</x:f>
        <x:v>37.83940391154235</x:v>
      </x:c>
      <x:c r="U109" s="34" t="str">
        <x:f>IF(M109=FALSE,"Not analysed in paper",IF(K109=N109,"Significance agrees",IF(K109=TRUE,"User only","Paper only")))</x:f>
        <x:v>Paper only</x:v>
      </x:c>
      <x:c r="V109" s="34" t="str">
        <x:f>IF(M109=FALSE,"Not analysed in paper",IF(L109=FALSE,"User not reliable/significant",IF(N109=FALSE,"Paper not significant",IF(P109="","Exact paper latency unavailable",IF(T109&lt;=10,"Close (&lt;=10 ms)",IF(T109&lt;=20,"Similar (10-20 ms)","Different (&gt;20 ms)"))))))</x:f>
        <x:v>User not reliable/significant</x:v>
      </x:c>
      <x:c r="W109" s="37" t="b">
        <x:v>0</x:v>
      </x:c>
      <x:c r="X109" s="38"/>
      <x:c r="Y109" s="38"/>
      <x:c r="Z109" s="39"/>
      <x:c r="AA109" s="39" t="str">
        <x:f>IF(W109=FALSE,"Not explicitly reported in PDF",IF(AND(G109&gt;=X109,G109&lt;=Y109),"Within PDF value/range",IF(MIN(ABS(G109-X109),ABS(G109-Y109))&lt;=15,"Within 15 ms of PDF","Different from PDF")))</x:f>
        <x:v>Not explicitly reported in PDF</x:v>
      </x:c>
    </x:row>
    <x:row r="110">
      <x:c r="A110" s="20" t="str">
        <x:v>DG</x:v>
      </x:c>
      <x:c r="B110" s="20" t="str">
        <x:v>Dentate gyrus</x:v>
      </x:c>
      <x:c r="C110" s="20" t="str">
        <x:v>Hippocampal formation</x:v>
      </x:c>
      <x:c r="D110" s="24" t="n">
        <x:v>134</x:v>
      </x:c>
      <x:c r="E110" s="24" t="n">
        <x:v>1137</x:v>
      </x:c>
      <x:c r="F110" s="25" t="n">
        <x:v>1.2581706031502398</x:v>
      </x:c>
      <x:c r="G110" s="25" t="n">
        <x:v>127.2398515607336</x:v>
      </x:c>
      <x:c r="H110" s="26" t="n">
        <x:v>0.0109890109890109</x:v>
      </x:c>
      <x:c r="I110" s="26" t="n">
        <x:v>0.0405982905982906</x:v>
      </x:c>
      <x:c r="J110" s="27" t="b">
        <x:v>1</x:v>
      </x:c>
      <x:c r="K110" s="27" t="b">
        <x:v>0</x:v>
      </x:c>
      <x:c r="L110" s="24" t="b">
        <x:f>AND(J110,K110)</x:f>
        <x:v>0</x:v>
      </x:c>
      <x:c r="M110" s="29" t="b">
        <x:v>1</x:v>
      </x:c>
      <x:c r="N110" s="30" t="n">
        <x:v>0</x:v>
      </x:c>
      <x:c r="O110" s="31" t="n">
        <x:v>-1.32</x:v>
      </x:c>
      <x:c r="P110" s="31" t="n">
        <x:v>80.8510638297872</x:v>
      </x:c>
      <x:c r="Q110" s="31" t="n">
        <x:v>0.0556603144418496</x:v>
      </x:c>
      <x:c r="R110" s="31" t="n">
        <x:v>1</x:v>
      </x:c>
      <x:c r="S110" s="33" t="n">
        <x:f>IF(OR(G110="",P110=""),"",G110-P110)</x:f>
        <x:v>46.388787730946405</x:v>
      </x:c>
      <x:c r="T110" s="33" t="n">
        <x:f>IF(S110="","",ABS(S110))</x:f>
        <x:v>46.388787730946405</x:v>
      </x:c>
      <x:c r="U110" s="34" t="str">
        <x:f>IF(M110=FALSE,"Not analysed in paper",IF(K110=N110,"Significance agrees",IF(K110=TRUE,"User only","Paper only")))</x:f>
        <x:v>Significance agrees</x:v>
      </x:c>
      <x:c r="V110" s="34" t="str">
        <x:f>IF(M110=FALSE,"Not analysed in paper",IF(L110=FALSE,"User not reliable/significant",IF(N110=FALSE,"Paper not significant",IF(P110="","Exact paper latency unavailable",IF(T110&lt;=10,"Close (&lt;=10 ms)",IF(T110&lt;=20,"Similar (10-20 ms)","Different (&gt;20 ms)"))))))</x:f>
        <x:v>User not reliable/significant</x:v>
      </x:c>
      <x:c r="W110" s="37" t="b">
        <x:v>0</x:v>
      </x:c>
      <x:c r="X110" s="38"/>
      <x:c r="Y110" s="38"/>
      <x:c r="Z110" s="39"/>
      <x:c r="AA110" s="39" t="str">
        <x:f>IF(W110=FALSE,"Not explicitly reported in PDF",IF(AND(G110&gt;=X110,G110&lt;=Y110),"Within PDF value/range",IF(MIN(ABS(G110-X110),ABS(G110-Y110))&lt;=15,"Within 15 ms of PDF","Different from PDF")))</x:f>
        <x:v>Not explicitly reported in PDF</x:v>
      </x:c>
    </x:row>
    <x:row r="111">
      <x:c r="A111" s="20" t="str">
        <x:v>ENTl</x:v>
      </x:c>
      <x:c r="B111" s="20" t="str">
        <x:v>Entorhinal area lateral part</x:v>
      </x:c>
      <x:c r="C111" s="20" t="str">
        <x:v>Hippocampal formation</x:v>
      </x:c>
      <x:c r="D111" s="24" t="n">
        <x:v>20</x:v>
      </x:c>
      <x:c r="E111" s="24" t="n">
        <x:v>585</x:v>
      </x:c>
      <x:c r="F111" s="25" t="n">
        <x:v>1.13335186013416</x:v>
      </x:c>
      <x:c r="G111" s="25" t="n">
        <x:v>110.86081613562004</x:v>
      </x:c>
      <x:c r="H111" s="26" t="n">
        <x:v>0.1098901098901098</x:v>
      </x:c>
      <x:c r="I111" s="26" t="n">
        <x:v>0.2118171683389074</x:v>
      </x:c>
      <x:c r="J111" s="27" t="b">
        <x:v>1</x:v>
      </x:c>
      <x:c r="K111" s="27" t="b">
        <x:v>0</x:v>
      </x:c>
      <x:c r="L111" s="24" t="b">
        <x:f>AND(J111,K111)</x:f>
        <x:v>0</x:v>
      </x:c>
      <x:c r="M111" s="29" t="b">
        <x:v>1</x:v>
      </x:c>
      <x:c r="N111" s="30" t="n">
        <x:v>1</x:v>
      </x:c>
      <x:c r="O111" s="31" t="n">
        <x:v>-1.17</x:v>
      </x:c>
      <x:c r="P111" s="31" t="n">
        <x:v>63.829787234042506</x:v>
      </x:c>
      <x:c r="Q111" s="31" t="n">
        <x:v>0.0676968882491352</x:v>
      </x:c>
      <x:c r="R111" s="31" t="n">
        <x:v>0</x:v>
      </x:c>
      <x:c r="S111" s="33" t="n">
        <x:f>IF(OR(G111="",P111=""),"",G111-P111)</x:f>
        <x:v>47.031028901577535</x:v>
      </x:c>
      <x:c r="T111" s="33" t="n">
        <x:f>IF(S111="","",ABS(S111))</x:f>
        <x:v>47.031028901577535</x:v>
      </x:c>
      <x:c r="U111" s="34" t="str">
        <x:f>IF(M111=FALSE,"Not analysed in paper",IF(K111=N111,"Significance agrees",IF(K111=TRUE,"User only","Paper only")))</x:f>
        <x:v>Paper only</x:v>
      </x:c>
      <x:c r="V111" s="34" t="str">
        <x:f>IF(M111=FALSE,"Not analysed in paper",IF(L111=FALSE,"User not reliable/significant",IF(N111=FALSE,"Paper not significant",IF(P111="","Exact paper latency unavailable",IF(T111&lt;=10,"Close (&lt;=10 ms)",IF(T111&lt;=20,"Similar (10-20 ms)","Different (&gt;20 ms)"))))))</x:f>
        <x:v>User not reliable/significant</x:v>
      </x:c>
      <x:c r="W111" s="37" t="b">
        <x:v>0</x:v>
      </x:c>
      <x:c r="X111" s="38"/>
      <x:c r="Y111" s="38"/>
      <x:c r="Z111" s="39"/>
      <x:c r="AA111" s="39" t="str">
        <x:f>IF(W111=FALSE,"Not explicitly reported in PDF",IF(AND(G111&gt;=X111,G111&lt;=Y111),"Within PDF value/range",IF(MIN(ABS(G111-X111),ABS(G111-Y111))&lt;=15,"Within 15 ms of PDF","Different from PDF")))</x:f>
        <x:v>Not explicitly reported in PDF</x:v>
      </x:c>
    </x:row>
    <x:row r="112">
      <x:c r="A112" s="20" t="str">
        <x:v>ENTm</x:v>
      </x:c>
      <x:c r="B112" s="20" t="str">
        <x:v>Entorhinal area medial part dorsal zone</x:v>
      </x:c>
      <x:c r="C112" s="20" t="str">
        <x:v>Hippocampal formation</x:v>
      </x:c>
      <x:c r="D112" s="24" t="n">
        <x:v>16</x:v>
      </x:c>
      <x:c r="E112" s="24" t="n">
        <x:v>639</x:v>
      </x:c>
      <x:c r="F112" s="25" t="n">
        <x:v>1.7038066398293288</x:v>
      </x:c>
      <x:c r="G112" s="25" t="n">
        <x:v>126.41341481156496</x:v>
      </x:c>
      <x:c r="H112" s="26" t="n">
        <x:v>0.1058941058941058</x:v>
      </x:c>
      <x:c r="I112" s="26" t="n">
        <x:v>0.2071164129987659</x:v>
      </x:c>
      <x:c r="J112" s="27" t="b">
        <x:v>1</x:v>
      </x:c>
      <x:c r="K112" s="27" t="b">
        <x:v>0</x:v>
      </x:c>
      <x:c r="L112" s="24" t="b">
        <x:f>AND(J112,K112)</x:f>
        <x:v>0</x:v>
      </x:c>
      <x:c r="M112" s="29" t="b">
        <x:v>1</x:v>
      </x:c>
      <x:c r="N112" s="30" t="n">
        <x:v>0</x:v>
      </x:c>
      <x:c r="O112" s="31" t="n">
        <x:v>-1.02</x:v>
      </x:c>
      <x:c r="P112" s="31" t="n">
        <x:v>14.8936170212765</x:v>
      </x:c>
      <x:c r="Q112" s="31" t="n">
        <x:v>0.1049640266696674</x:v>
      </x:c>
      <x:c r="R112" s="31" t="n">
        <x:v>1</x:v>
      </x:c>
      <x:c r="S112" s="33" t="n">
        <x:f>IF(OR(G112="",P112=""),"",G112-P112)</x:f>
        <x:v>111.51979779028846</x:v>
      </x:c>
      <x:c r="T112" s="33" t="n">
        <x:f>IF(S112="","",ABS(S112))</x:f>
        <x:v>111.51979779028846</x:v>
      </x:c>
      <x:c r="U112" s="34" t="str">
        <x:f>IF(M112=FALSE,"Not analysed in paper",IF(K112=N112,"Significance agrees",IF(K112=TRUE,"User only","Paper only")))</x:f>
        <x:v>Significance agrees</x:v>
      </x:c>
      <x:c r="V112" s="34" t="str">
        <x:f>IF(M112=FALSE,"Not analysed in paper",IF(L112=FALSE,"User not reliable/significant",IF(N112=FALSE,"Paper not significant",IF(P112="","Exact paper latency unavailable",IF(T112&lt;=10,"Close (&lt;=10 ms)",IF(T112&lt;=20,"Similar (10-20 ms)","Different (&gt;20 ms)"))))))</x:f>
        <x:v>User not reliable/significant</x:v>
      </x:c>
      <x:c r="W112" s="37" t="b">
        <x:v>0</x:v>
      </x:c>
      <x:c r="X112" s="38"/>
      <x:c r="Y112" s="38"/>
      <x:c r="Z112" s="39"/>
      <x:c r="AA112" s="39" t="str">
        <x:f>IF(W112=FALSE,"Not explicitly reported in PDF",IF(AND(G112&gt;=X112,G112&lt;=Y112),"Within PDF value/range",IF(MIN(ABS(G112-X112),ABS(G112-Y112))&lt;=15,"Within 15 ms of PDF","Different from PDF")))</x:f>
        <x:v>Not explicitly reported in PDF</x:v>
      </x:c>
    </x:row>
    <x:row r="113">
      <x:c r="A113" s="20" t="str">
        <x:v>FC</x:v>
      </x:c>
      <x:c r="B113" s="20" t="str">
        <x:v>Fasciola cinerea</x:v>
      </x:c>
      <x:c r="C113" s="20" t="str">
        <x:v>Hippocampal formation</x:v>
      </x:c>
      <x:c r="D113" s="24" t="n">
        <x:v>4</x:v>
      </x:c>
      <x:c r="E113" s="24" t="n">
        <x:v>23</x:v>
      </x:c>
      <x:c r="F113" s="25" t="n">
        <x:v>4.402992188208188</x:v>
      </x:c>
      <x:c r="G113" s="25" t="n">
        <x:v>130.81042136830143</x:v>
      </x:c>
      <x:c r="H113" s="26" t="n">
        <x:v>0.0459540459540459</x:v>
      </x:c>
      <x:c r="I113" s="26" t="n">
        <x:v>0.1072261072261072</x:v>
      </x:c>
      <x:c r="J113" s="27" t="b">
        <x:v>1</x:v>
      </x:c>
      <x:c r="K113" s="27" t="b">
        <x:v>0</x:v>
      </x:c>
      <x:c r="L113" s="24" t="b">
        <x:f>AND(J113,K113)</x:f>
        <x:v>0</x:v>
      </x:c>
      <x:c r="M113" s="29" t="b">
        <x:v>0</x:v>
      </x:c>
      <x:c r="N113" s="30"/>
      <x:c r="O113" s="31"/>
      <x:c r="P113" s="31"/>
      <x:c r="Q113" s="31"/>
      <x:c r="R113" s="31"/>
      <x:c r="S113" s="33" t="str">
        <x:f>IF(OR(G113="",P113=""),"",G113-P113)</x:f>
      </x:c>
      <x:c r="T113" s="33" t="str">
        <x:f>IF(S113="","",ABS(S113))</x:f>
      </x:c>
      <x:c r="U113" s="34" t="str">
        <x:f>IF(M113=FALSE,"Not analysed in paper",IF(K113=N113,"Significance agrees",IF(K113=TRUE,"User only","Paper only")))</x:f>
        <x:v>Not analysed in paper</x:v>
      </x:c>
      <x:c r="V113" s="34" t="str">
        <x:f>IF(M113=FALSE,"Not analysed in paper",IF(L113=FALSE,"User not reliable/significant",IF(N113=FALSE,"Paper not significant",IF(P113="","Exact paper latency unavailable",IF(T113&lt;=10,"Close (&lt;=10 ms)",IF(T113&lt;=20,"Similar (10-20 ms)","Different (&gt;20 ms)"))))))</x:f>
        <x:v>Not analysed in paper</x:v>
      </x:c>
      <x:c r="W113" s="37" t="b">
        <x:v>0</x:v>
      </x:c>
      <x:c r="X113" s="38"/>
      <x:c r="Y113" s="38"/>
      <x:c r="Z113" s="39"/>
      <x:c r="AA113" s="39" t="str">
        <x:f>IF(W113=FALSE,"Not explicitly reported in PDF",IF(AND(G113&gt;=X113,G113&lt;=Y113),"Within PDF value/range",IF(MIN(ABS(G113-X113),ABS(G113-Y113))&lt;=15,"Within 15 ms of PDF","Different from PDF")))</x:f>
        <x:v>Not explicitly reported in PDF</x:v>
      </x:c>
    </x:row>
    <x:row r="114">
      <x:c r="A114" s="20" t="str">
        <x:v>HATA</x:v>
      </x:c>
      <x:c r="B114" s="20" t="str">
        <x:v>Hippocampo-amygdalar transition area</x:v>
      </x:c>
      <x:c r="C114" s="20" t="str">
        <x:v>Hippocampal formation</x:v>
      </x:c>
      <x:c r="D114" s="24" t="n">
        <x:v>6</x:v>
      </x:c>
      <x:c r="E114" s="24" t="n">
        <x:v>59</x:v>
      </x:c>
      <x:c r="F114" s="25" t="n">
        <x:v>2.5872454509973526</x:v>
      </x:c>
      <x:c r="G114" s="25" t="n">
        <x:v>5</x:v>
      </x:c>
      <x:c r="H114" s="26" t="n">
        <x:v>0.8811188811188811</x:v>
      </x:c>
      <x:c r="I114" s="26" t="n">
        <x:v>0.9305950966030018</x:v>
      </x:c>
      <x:c r="J114" s="27" t="b">
        <x:v>1</x:v>
      </x:c>
      <x:c r="K114" s="27" t="b">
        <x:v>0</x:v>
      </x:c>
      <x:c r="L114" s="24" t="b">
        <x:f>AND(J114,K114)</x:f>
        <x:v>0</x:v>
      </x:c>
      <x:c r="M114" s="29" t="b">
        <x:v>1</x:v>
      </x:c>
      <x:c r="N114" s="30" t="n">
        <x:v>0</x:v>
      </x:c>
      <x:c r="O114" s="31" t="n">
        <x:v>-0.54</x:v>
      </x:c>
      <x:c r="P114" s="31"/>
      <x:c r="Q114" s="31"/>
      <x:c r="R114" s="31"/>
      <x:c r="S114" s="33" t="str">
        <x:f>IF(OR(G114="",P114=""),"",G114-P114)</x:f>
      </x:c>
      <x:c r="T114" s="33" t="str">
        <x:f>IF(S114="","",ABS(S114))</x:f>
      </x:c>
      <x:c r="U114" s="34" t="str">
        <x:f>IF(M114=FALSE,"Not analysed in paper",IF(K114=N114,"Significance agrees",IF(K114=TRUE,"User only","Paper only")))</x:f>
        <x:v>Significance agrees</x:v>
      </x:c>
      <x:c r="V114" s="34" t="str">
        <x:f>IF(M114=FALSE,"Not analysed in paper",IF(L114=FALSE,"User not reliable/significant",IF(N114=FALSE,"Paper not significant",IF(P114="","Exact paper latency unavailable",IF(T114&lt;=10,"Close (&lt;=10 ms)",IF(T114&lt;=20,"Similar (10-20 ms)","Different (&gt;20 ms)"))))))</x:f>
        <x:v>User not reliable/significant</x:v>
      </x:c>
      <x:c r="W114" s="37" t="b">
        <x:v>0</x:v>
      </x:c>
      <x:c r="X114" s="38"/>
      <x:c r="Y114" s="38"/>
      <x:c r="Z114" s="39"/>
      <x:c r="AA114" s="39" t="str">
        <x:f>IF(W114=FALSE,"Not explicitly reported in PDF",IF(AND(G114&gt;=X114,G114&lt;=Y114),"Within PDF value/range",IF(MIN(ABS(G114-X114),ABS(G114-Y114))&lt;=15,"Within 15 ms of PDF","Different from PDF")))</x:f>
        <x:v>Not explicitly reported in PDF</x:v>
      </x:c>
    </x:row>
    <x:row r="115">
      <x:c r="A115" s="20" t="str">
        <x:v>IG</x:v>
      </x:c>
      <x:c r="B115" s="20" t="str">
        <x:v>Induseum griseum</x:v>
      </x:c>
      <x:c r="C115" s="20" t="str">
        <x:v>Hippocampal formation</x:v>
      </x:c>
      <x:c r="D115" s="24" t="n">
        <x:v>3</x:v>
      </x:c>
      <x:c r="E115" s="24" t="n">
        <x:v>9</x:v>
      </x:c>
      <x:c r="F115" s="25" t="n">
        <x:v>2.259117194209294</x:v>
      </x:c>
      <x:c r="G115" s="25" t="n">
        <x:v>11.531774021499237</x:v>
      </x:c>
      <x:c r="H115" s="26" t="n">
        <x:v>0.6113886113886113</x:v>
      </x:c>
      <x:c r="I115" s="26" t="n">
        <x:v>0.7272102897102898</x:v>
      </x:c>
      <x:c r="J115" s="27" t="b">
        <x:v>0</x:v>
      </x:c>
      <x:c r="K115" s="27" t="b">
        <x:v>0</x:v>
      </x:c>
      <x:c r="L115" s="24" t="b">
        <x:f>AND(J115,K115)</x:f>
        <x:v>0</x:v>
      </x:c>
      <x:c r="M115" s="29" t="b">
        <x:v>0</x:v>
      </x:c>
      <x:c r="N115" s="30"/>
      <x:c r="O115" s="31"/>
      <x:c r="P115" s="31"/>
      <x:c r="Q115" s="31"/>
      <x:c r="R115" s="31"/>
      <x:c r="S115" s="33" t="str">
        <x:f>IF(OR(G115="",P115=""),"",G115-P115)</x:f>
      </x:c>
      <x:c r="T115" s="33" t="str">
        <x:f>IF(S115="","",ABS(S115))</x:f>
      </x:c>
      <x:c r="U115" s="34" t="str">
        <x:f>IF(M115=FALSE,"Not analysed in paper",IF(K115=N115,"Significance agrees",IF(K115=TRUE,"User only","Paper only")))</x:f>
        <x:v>Not analysed in paper</x:v>
      </x:c>
      <x:c r="V115" s="34" t="str">
        <x:f>IF(M115=FALSE,"Not analysed in paper",IF(L115=FALSE,"User not reliable/significant",IF(N115=FALSE,"Paper not significant",IF(P115="","Exact paper latency unavailable",IF(T115&lt;=10,"Close (&lt;=10 ms)",IF(T115&lt;=20,"Similar (10-20 ms)","Different (&gt;20 ms)"))))))</x:f>
        <x:v>Not analysed in paper</x:v>
      </x:c>
      <x:c r="W115" s="37" t="b">
        <x:v>0</x:v>
      </x:c>
      <x:c r="X115" s="38"/>
      <x:c r="Y115" s="38"/>
      <x:c r="Z115" s="39"/>
      <x:c r="AA115" s="39" t="str">
        <x:f>IF(W115=FALSE,"Not explicitly reported in PDF",IF(AND(G115&gt;=X115,G115&lt;=Y115),"Within PDF value/range",IF(MIN(ABS(G115-X115),ABS(G115-Y115))&lt;=15,"Within 15 ms of PDF","Different from PDF")))</x:f>
        <x:v>Not explicitly reported in PDF</x:v>
      </x:c>
    </x:row>
    <x:row r="116">
      <x:c r="A116" s="20" t="str">
        <x:v>PAR</x:v>
      </x:c>
      <x:c r="B116" s="20" t="str">
        <x:v>Parasubiculum</x:v>
      </x:c>
      <x:c r="C116" s="20" t="str">
        <x:v>Hippocampal formation</x:v>
      </x:c>
      <x:c r="D116" s="24" t="n">
        <x:v>9</x:v>
      </x:c>
      <x:c r="E116" s="24" t="n">
        <x:v>117</x:v>
      </x:c>
      <x:c r="F116" s="25" t="n">
        <x:v>6.172516787010606</x:v>
      </x:c>
      <x:c r="G116" s="25" t="n">
        <x:v>107.49791577186164</x:v>
      </x:c>
      <x:c r="H116" s="26" t="n">
        <x:v>0.1618381618381618</x:v>
      </x:c>
      <x:c r="I116" s="26" t="n">
        <x:v>0.2948558291024044</x:v>
      </x:c>
      <x:c r="J116" s="27" t="b">
        <x:v>1</x:v>
      </x:c>
      <x:c r="K116" s="27" t="b">
        <x:v>0</x:v>
      </x:c>
      <x:c r="L116" s="24" t="b">
        <x:f>AND(J116,K116)</x:f>
        <x:v>0</x:v>
      </x:c>
      <x:c r="M116" s="29" t="b">
        <x:v>1</x:v>
      </x:c>
      <x:c r="N116" s="30" t="n">
        <x:v>1</x:v>
      </x:c>
      <x:c r="O116" s="31" t="n">
        <x:v>-0.39</x:v>
      </x:c>
      <x:c r="P116" s="31" t="n">
        <x:v>63.829787234042506</x:v>
      </x:c>
      <x:c r="Q116" s="31" t="n">
        <x:v>0.31131562154808</x:v>
      </x:c>
      <x:c r="R116" s="31" t="n">
        <x:v>1</x:v>
      </x:c>
      <x:c r="S116" s="33" t="n">
        <x:f>IF(OR(G116="",P116=""),"",G116-P116)</x:f>
        <x:v>43.668128537819136</x:v>
      </x:c>
      <x:c r="T116" s="33" t="n">
        <x:f>IF(S116="","",ABS(S116))</x:f>
        <x:v>43.668128537819136</x:v>
      </x:c>
      <x:c r="U116" s="34" t="str">
        <x:f>IF(M116=FALSE,"Not analysed in paper",IF(K116=N116,"Significance agrees",IF(K116=TRUE,"User only","Paper only")))</x:f>
        <x:v>Paper only</x:v>
      </x:c>
      <x:c r="V116" s="34" t="str">
        <x:f>IF(M116=FALSE,"Not analysed in paper",IF(L116=FALSE,"User not reliable/significant",IF(N116=FALSE,"Paper not significant",IF(P116="","Exact paper latency unavailable",IF(T116&lt;=10,"Close (&lt;=10 ms)",IF(T116&lt;=20,"Similar (10-20 ms)","Different (&gt;20 ms)"))))))</x:f>
        <x:v>User not reliable/significant</x:v>
      </x:c>
      <x:c r="W116" s="37" t="b">
        <x:v>0</x:v>
      </x:c>
      <x:c r="X116" s="38"/>
      <x:c r="Y116" s="38"/>
      <x:c r="Z116" s="39"/>
      <x:c r="AA116" s="39" t="str">
        <x:f>IF(W116=FALSE,"Not explicitly reported in PDF",IF(AND(G116&gt;=X116,G116&lt;=Y116),"Within PDF value/range",IF(MIN(ABS(G116-X116),ABS(G116-Y116))&lt;=15,"Within 15 ms of PDF","Different from PDF")))</x:f>
        <x:v>Not explicitly reported in PDF</x:v>
      </x:c>
    </x:row>
    <x:row r="117">
      <x:c r="A117" s="20" t="str">
        <x:v>POST</x:v>
      </x:c>
      <x:c r="B117" s="20" t="str">
        <x:v>Postsubiculum</x:v>
      </x:c>
      <x:c r="C117" s="20" t="str">
        <x:v>Hippocampal formation</x:v>
      </x:c>
      <x:c r="D117" s="24" t="n">
        <x:v>19</x:v>
      </x:c>
      <x:c r="E117" s="24" t="n">
        <x:v>233</x:v>
      </x:c>
      <x:c r="F117" s="25" t="n">
        <x:v>4.715797797014453</x:v>
      </x:c>
      <x:c r="G117" s="25" t="n">
        <x:v>124.7470688813912</x:v>
      </x:c>
      <x:c r="H117" s="26" t="n">
        <x:v>0.0079920079920079</x:v>
      </x:c>
      <x:c r="I117" s="26" t="n">
        <x:v>0.0327057557826788</x:v>
      </x:c>
      <x:c r="J117" s="27" t="b">
        <x:v>1</x:v>
      </x:c>
      <x:c r="K117" s="27" t="b">
        <x:v>0</x:v>
      </x:c>
      <x:c r="L117" s="24" t="b">
        <x:f>AND(J117,K117)</x:f>
        <x:v>0</x:v>
      </x:c>
      <x:c r="M117" s="29" t="b">
        <x:v>1</x:v>
      </x:c>
      <x:c r="N117" s="30" t="n">
        <x:v>1</x:v>
      </x:c>
      <x:c r="O117" s="31" t="n">
        <x:v>-0.7</x:v>
      </x:c>
      <x:c r="P117" s="31" t="n">
        <x:v>78.7234042553191</x:v>
      </x:c>
      <x:c r="Q117" s="31" t="n">
        <x:v>0.2963343531704034</x:v>
      </x:c>
      <x:c r="R117" s="31" t="n">
        <x:v>1</x:v>
      </x:c>
      <x:c r="S117" s="33" t="n">
        <x:f>IF(OR(G117="",P117=""),"",G117-P117)</x:f>
        <x:v>46.023664626072105</x:v>
      </x:c>
      <x:c r="T117" s="33" t="n">
        <x:f>IF(S117="","",ABS(S117))</x:f>
        <x:v>46.023664626072105</x:v>
      </x:c>
      <x:c r="U117" s="34" t="str">
        <x:f>IF(M117=FALSE,"Not analysed in paper",IF(K117=N117,"Significance agrees",IF(K117=TRUE,"User only","Paper only")))</x:f>
        <x:v>Paper only</x:v>
      </x:c>
      <x:c r="V117" s="34" t="str">
        <x:f>IF(M117=FALSE,"Not analysed in paper",IF(L117=FALSE,"User not reliable/significant",IF(N117=FALSE,"Paper not significant",IF(P117="","Exact paper latency unavailable",IF(T117&lt;=10,"Close (&lt;=10 ms)",IF(T117&lt;=20,"Similar (10-20 ms)","Different (&gt;20 ms)"))))))</x:f>
        <x:v>User not reliable/significant</x:v>
      </x:c>
      <x:c r="W117" s="37" t="b">
        <x:v>0</x:v>
      </x:c>
      <x:c r="X117" s="38"/>
      <x:c r="Y117" s="38"/>
      <x:c r="Z117" s="39"/>
      <x:c r="AA117" s="39" t="str">
        <x:f>IF(W117=FALSE,"Not explicitly reported in PDF",IF(AND(G117&gt;=X117,G117&lt;=Y117),"Within PDF value/range",IF(MIN(ABS(G117-X117),ABS(G117-Y117))&lt;=15,"Within 15 ms of PDF","Different from PDF")))</x:f>
        <x:v>Not explicitly reported in PDF</x:v>
      </x:c>
    </x:row>
    <x:row r="118">
      <x:c r="A118" s="20" t="str">
        <x:v>PRE</x:v>
      </x:c>
      <x:c r="B118" s="20" t="str">
        <x:v>Presubiculum</x:v>
      </x:c>
      <x:c r="C118" s="20" t="str">
        <x:v>Hippocampal formation</x:v>
      </x:c>
      <x:c r="D118" s="24" t="n">
        <x:v>7</x:v>
      </x:c>
      <x:c r="E118" s="24" t="n">
        <x:v>115</x:v>
      </x:c>
      <x:c r="F118" s="25" t="n">
        <x:v>2.9842280037692723</x:v>
      </x:c>
      <x:c r="G118" s="25" t="n">
        <x:v>100.47578646749707</x:v>
      </x:c>
      <x:c r="H118" s="26" t="n">
        <x:v>0.0849150849150849</x:v>
      </x:c>
      <x:c r="I118" s="26" t="n">
        <x:v>0.1806993006993006</x:v>
      </x:c>
      <x:c r="J118" s="27" t="b">
        <x:v>1</x:v>
      </x:c>
      <x:c r="K118" s="27" t="b">
        <x:v>0</x:v>
      </x:c>
      <x:c r="L118" s="24" t="b">
        <x:f>AND(J118,K118)</x:f>
        <x:v>0</x:v>
      </x:c>
      <x:c r="M118" s="29" t="b">
        <x:v>1</x:v>
      </x:c>
      <x:c r="N118" s="30" t="n">
        <x:v>1</x:v>
      </x:c>
      <x:c r="O118" s="31" t="n">
        <x:v>-0.51</x:v>
      </x:c>
      <x:c r="P118" s="31"/>
      <x:c r="Q118" s="31" t="n">
        <x:v>0.1923425186756651</x:v>
      </x:c>
      <x:c r="R118" s="31" t="n">
        <x:v>1</x:v>
      </x:c>
      <x:c r="S118" s="33" t="str">
        <x:f>IF(OR(G118="",P118=""),"",G118-P118)</x:f>
      </x:c>
      <x:c r="T118" s="33" t="str">
        <x:f>IF(S118="","",ABS(S118))</x:f>
      </x:c>
      <x:c r="U118" s="34" t="str">
        <x:f>IF(M118=FALSE,"Not analysed in paper",IF(K118=N118,"Significance agrees",IF(K118=TRUE,"User only","Paper only")))</x:f>
        <x:v>Paper only</x:v>
      </x:c>
      <x:c r="V118" s="34" t="str">
        <x:f>IF(M118=FALSE,"Not analysed in paper",IF(L118=FALSE,"User not reliable/significant",IF(N118=FALSE,"Paper not significant",IF(P118="","Exact paper latency unavailable",IF(T118&lt;=10,"Close (&lt;=10 ms)",IF(T118&lt;=20,"Similar (10-20 ms)","Different (&gt;20 ms)"))))))</x:f>
        <x:v>User not reliable/significant</x:v>
      </x:c>
      <x:c r="W118" s="37" t="b">
        <x:v>0</x:v>
      </x:c>
      <x:c r="X118" s="38"/>
      <x:c r="Y118" s="38"/>
      <x:c r="Z118" s="39"/>
      <x:c r="AA118" s="39" t="str">
        <x:f>IF(W118=FALSE,"Not explicitly reported in PDF",IF(AND(G118&gt;=X118,G118&lt;=Y118),"Within PDF value/range",IF(MIN(ABS(G118-X118),ABS(G118-Y118))&lt;=15,"Within 15 ms of PDF","Different from PDF")))</x:f>
        <x:v>Not explicitly reported in PDF</x:v>
      </x:c>
    </x:row>
    <x:row r="119">
      <x:c r="A119" s="20" t="str">
        <x:v>ProS</x:v>
      </x:c>
      <x:c r="B119" s="20" t="str">
        <x:v>Prosubiculum</x:v>
      </x:c>
      <x:c r="C119" s="20" t="str">
        <x:v>Hippocampal formation</x:v>
      </x:c>
      <x:c r="D119" s="24" t="n">
        <x:v>22</x:v>
      </x:c>
      <x:c r="E119" s="24" t="n">
        <x:v>378</x:v>
      </x:c>
      <x:c r="F119" s="25" t="n">
        <x:v>1.493184801548598</x:v>
      </x:c>
      <x:c r="G119" s="25" t="n">
        <x:v>32.567399444380364</x:v>
      </x:c>
      <x:c r="H119" s="26" t="n">
        <x:v>0.5694305694305695</x:v>
      </x:c>
      <x:c r="I119" s="26" t="n">
        <x:v>0.6940639269406392</x:v>
      </x:c>
      <x:c r="J119" s="27" t="b">
        <x:v>1</x:v>
      </x:c>
      <x:c r="K119" s="27" t="b">
        <x:v>0</x:v>
      </x:c>
      <x:c r="L119" s="24" t="b">
        <x:f>AND(J119,K119)</x:f>
        <x:v>0</x:v>
      </x:c>
      <x:c r="M119" s="29" t="b">
        <x:v>1</x:v>
      </x:c>
      <x:c r="N119" s="30" t="n">
        <x:v>1</x:v>
      </x:c>
      <x:c r="O119" s="31" t="n">
        <x:v>-0.69</x:v>
      </x:c>
      <x:c r="P119" s="31" t="n">
        <x:v>23.404255319148902</x:v>
      </x:c>
      <x:c r="Q119" s="31" t="n">
        <x:v>0.0791486094186839</x:v>
      </x:c>
      <x:c r="R119" s="31" t="n">
        <x:v>1</x:v>
      </x:c>
      <x:c r="S119" s="33" t="n">
        <x:f>IF(OR(G119="",P119=""),"",G119-P119)</x:f>
        <x:v>9.163144125231462</x:v>
      </x:c>
      <x:c r="T119" s="33" t="n">
        <x:f>IF(S119="","",ABS(S119))</x:f>
        <x:v>9.163144125231462</x:v>
      </x:c>
      <x:c r="U119" s="34" t="str">
        <x:f>IF(M119=FALSE,"Not analysed in paper",IF(K119=N119,"Significance agrees",IF(K119=TRUE,"User only","Paper only")))</x:f>
        <x:v>Paper only</x:v>
      </x:c>
      <x:c r="V119" s="34" t="str">
        <x:f>IF(M119=FALSE,"Not analysed in paper",IF(L119=FALSE,"User not reliable/significant",IF(N119=FALSE,"Paper not significant",IF(P119="","Exact paper latency unavailable",IF(T119&lt;=10,"Close (&lt;=10 ms)",IF(T119&lt;=20,"Similar (10-20 ms)","Different (&gt;20 ms)"))))))</x:f>
        <x:v>User not reliable/significant</x:v>
      </x:c>
      <x:c r="W119" s="37" t="b">
        <x:v>0</x:v>
      </x:c>
      <x:c r="X119" s="38"/>
      <x:c r="Y119" s="38"/>
      <x:c r="Z119" s="39"/>
      <x:c r="AA119" s="39" t="str">
        <x:f>IF(W119=FALSE,"Not explicitly reported in PDF",IF(AND(G119&gt;=X119,G119&lt;=Y119),"Within PDF value/range",IF(MIN(ABS(G119-X119),ABS(G119-Y119))&lt;=15,"Within 15 ms of PDF","Different from PDF")))</x:f>
        <x:v>Not explicitly reported in PDF</x:v>
      </x:c>
    </x:row>
    <x:row r="120">
      <x:c r="A120" s="20" t="str">
        <x:v>SUB</x:v>
      </x:c>
      <x:c r="B120" s="20" t="str">
        <x:v>Subiculum</x:v>
      </x:c>
      <x:c r="C120" s="20" t="str">
        <x:v>Hippocampal formation</x:v>
      </x:c>
      <x:c r="D120" s="24" t="n">
        <x:v>37</x:v>
      </x:c>
      <x:c r="E120" s="24" t="n">
        <x:v>914</x:v>
      </x:c>
      <x:c r="F120" s="25" t="n">
        <x:v>1.1686955552504736</x:v>
      </x:c>
      <x:c r="G120" s="25" t="n">
        <x:v>121.14492150345129</x:v>
      </x:c>
      <x:c r="H120" s="26" t="n">
        <x:v>0.0629370629370629</x:v>
      </x:c>
      <x:c r="I120" s="26" t="n">
        <x:v>0.1383575102583367</x:v>
      </x:c>
      <x:c r="J120" s="27" t="b">
        <x:v>1</x:v>
      </x:c>
      <x:c r="K120" s="27" t="b">
        <x:v>0</x:v>
      </x:c>
      <x:c r="L120" s="24" t="b">
        <x:f>AND(J120,K120)</x:f>
        <x:v>0</x:v>
      </x:c>
      <x:c r="M120" s="29" t="b">
        <x:v>1</x:v>
      </x:c>
      <x:c r="N120" s="30" t="n">
        <x:v>0</x:v>
      </x:c>
      <x:c r="O120" s="31" t="n">
        <x:v>-1.11</x:v>
      </x:c>
      <x:c r="P120" s="31" t="n">
        <x:v>63.829787234042506</x:v>
      </x:c>
      <x:c r="Q120" s="31" t="n">
        <x:v>0.0677290944197482</x:v>
      </x:c>
      <x:c r="R120" s="31" t="n">
        <x:v>1</x:v>
      </x:c>
      <x:c r="S120" s="33" t="n">
        <x:f>IF(OR(G120="",P120=""),"",G120-P120)</x:f>
        <x:v>57.31513426940878</x:v>
      </x:c>
      <x:c r="T120" s="33" t="n">
        <x:f>IF(S120="","",ABS(S120))</x:f>
        <x:v>57.31513426940878</x:v>
      </x:c>
      <x:c r="U120" s="34" t="str">
        <x:f>IF(M120=FALSE,"Not analysed in paper",IF(K120=N120,"Significance agrees",IF(K120=TRUE,"User only","Paper only")))</x:f>
        <x:v>Significance agrees</x:v>
      </x:c>
      <x:c r="V120" s="34" t="str">
        <x:f>IF(M120=FALSE,"Not analysed in paper",IF(L120=FALSE,"User not reliable/significant",IF(N120=FALSE,"Paper not significant",IF(P120="","Exact paper latency unavailable",IF(T120&lt;=10,"Close (&lt;=10 ms)",IF(T120&lt;=20,"Similar (10-20 ms)","Different (&gt;20 ms)"))))))</x:f>
        <x:v>User not reliable/significant</x:v>
      </x:c>
      <x:c r="W120" s="37" t="b">
        <x:v>0</x:v>
      </x:c>
      <x:c r="X120" s="38"/>
      <x:c r="Y120" s="38"/>
      <x:c r="Z120" s="39"/>
      <x:c r="AA120" s="39" t="str">
        <x:f>IF(W120=FALSE,"Not explicitly reported in PDF",IF(AND(G120&gt;=X120,G120&lt;=Y120),"Within PDF value/range",IF(MIN(ABS(G120-X120),ABS(G120-Y120))&lt;=15,"Within 15 ms of PDF","Different from PDF")))</x:f>
        <x:v>Not explicitly reported in PDF</x:v>
      </x:c>
    </x:row>
    <x:row r="121">
      <x:c r="A121" s="20" t="str">
        <x:v>ADP</x:v>
      </x:c>
      <x:c r="B121" s="20" t="str">
        <x:v>Anterodorsal preoptic nucleus</x:v>
      </x:c>
      <x:c r="C121" s="20" t="str">
        <x:v>Hypothalamus</x:v>
      </x:c>
      <x:c r="D121" s="24" t="n">
        <x:v>1</x:v>
      </x:c>
      <x:c r="E121" s="24" t="n">
        <x:v>5</x:v>
      </x:c>
      <x:c r="F121" s="25" t="n">
        <x:v>3.396451125106343</x:v>
      </x:c>
      <x:c r="G121" s="25" t="n">
        <x:v>20.46363977298118</x:v>
      </x:c>
      <x:c r="H121" s="26" t="n">
        <x:v>0.978021978021978</x:v>
      </x:c>
      <x:c r="I121" s="26" t="n">
        <x:v>0.9817126269956458</x:v>
      </x:c>
      <x:c r="J121" s="27" t="b">
        <x:v>0</x:v>
      </x:c>
      <x:c r="K121" s="27" t="b">
        <x:v>0</x:v>
      </x:c>
      <x:c r="L121" s="24" t="b">
        <x:f>AND(J121,K121)</x:f>
        <x:v>0</x:v>
      </x:c>
      <x:c r="M121" s="29" t="b">
        <x:v>0</x:v>
      </x:c>
      <x:c r="N121" s="30"/>
      <x:c r="O121" s="31"/>
      <x:c r="P121" s="31"/>
      <x:c r="Q121" s="31"/>
      <x:c r="R121" s="31"/>
      <x:c r="S121" s="33" t="str">
        <x:f>IF(OR(G121="",P121=""),"",G121-P121)</x:f>
      </x:c>
      <x:c r="T121" s="33" t="str">
        <x:f>IF(S121="","",ABS(S121))</x:f>
      </x:c>
      <x:c r="U121" s="34" t="str">
        <x:f>IF(M121=FALSE,"Not analysed in paper",IF(K121=N121,"Significance agrees",IF(K121=TRUE,"User only","Paper only")))</x:f>
        <x:v>Not analysed in paper</x:v>
      </x:c>
      <x:c r="V121" s="34" t="str">
        <x:f>IF(M121=FALSE,"Not analysed in paper",IF(L121=FALSE,"User not reliable/significant",IF(N121=FALSE,"Paper not significant",IF(P121="","Exact paper latency unavailable",IF(T121&lt;=10,"Close (&lt;=10 ms)",IF(T121&lt;=20,"Similar (10-20 ms)","Different (&gt;20 ms)"))))))</x:f>
        <x:v>Not analysed in paper</x:v>
      </x:c>
      <x:c r="W121" s="37" t="b">
        <x:v>0</x:v>
      </x:c>
      <x:c r="X121" s="38"/>
      <x:c r="Y121" s="38"/>
      <x:c r="Z121" s="39"/>
      <x:c r="AA121" s="39" t="str">
        <x:f>IF(W121=FALSE,"Not explicitly reported in PDF",IF(AND(G121&gt;=X121,G121&lt;=Y121),"Within PDF value/range",IF(MIN(ABS(G121-X121),ABS(G121-Y121))&lt;=15,"Within 15 ms of PDF","Different from PDF")))</x:f>
        <x:v>Not explicitly reported in PDF</x:v>
      </x:c>
    </x:row>
    <x:row r="122">
      <x:c r="A122" s="20" t="str">
        <x:v>AHN</x:v>
      </x:c>
      <x:c r="B122" s="20" t="str">
        <x:v>Anterior hypothalamic nucleus</x:v>
      </x:c>
      <x:c r="C122" s="20" t="str">
        <x:v>Hypothalamus</x:v>
      </x:c>
      <x:c r="D122" s="24" t="n">
        <x:v>3</x:v>
      </x:c>
      <x:c r="E122" s="24" t="n">
        <x:v>10</x:v>
      </x:c>
      <x:c r="F122" s="25" t="n">
        <x:v>3.1976814789906784</x:v>
      </x:c>
      <x:c r="G122" s="25" t="n">
        <x:v>5</x:v>
      </x:c>
      <x:c r="H122" s="26" t="n">
        <x:v>0.6213786213786214</x:v>
      </x:c>
      <x:c r="I122" s="26" t="n">
        <x:v>0.7313571384367845</x:v>
      </x:c>
      <x:c r="J122" s="27" t="b">
        <x:v>0</x:v>
      </x:c>
      <x:c r="K122" s="27" t="b">
        <x:v>0</x:v>
      </x:c>
      <x:c r="L122" s="24" t="b">
        <x:f>AND(J122,K122)</x:f>
        <x:v>0</x:v>
      </x:c>
      <x:c r="M122" s="29" t="b">
        <x:v>0</x:v>
      </x:c>
      <x:c r="N122" s="30"/>
      <x:c r="O122" s="31"/>
      <x:c r="P122" s="31"/>
      <x:c r="Q122" s="31"/>
      <x:c r="R122" s="31"/>
      <x:c r="S122" s="33" t="str">
        <x:f>IF(OR(G122="",P122=""),"",G122-P122)</x:f>
      </x:c>
      <x:c r="T122" s="33" t="str">
        <x:f>IF(S122="","",ABS(S122))</x:f>
      </x:c>
      <x:c r="U122" s="34" t="str">
        <x:f>IF(M122=FALSE,"Not analysed in paper",IF(K122=N122,"Significance agrees",IF(K122=TRUE,"User only","Paper only")))</x:f>
        <x:v>Not analysed in paper</x:v>
      </x:c>
      <x:c r="V122" s="34" t="str">
        <x:f>IF(M122=FALSE,"Not analysed in paper",IF(L122=FALSE,"User not reliable/significant",IF(N122=FALSE,"Paper not significant",IF(P122="","Exact paper latency unavailable",IF(T122&lt;=10,"Close (&lt;=10 ms)",IF(T122&lt;=20,"Similar (10-20 ms)","Different (&gt;20 ms)"))))))</x:f>
        <x:v>Not analysed in paper</x:v>
      </x:c>
      <x:c r="W122" s="37" t="b">
        <x:v>0</x:v>
      </x:c>
      <x:c r="X122" s="38"/>
      <x:c r="Y122" s="38"/>
      <x:c r="Z122" s="39"/>
      <x:c r="AA122" s="39" t="str">
        <x:f>IF(W122=FALSE,"Not explicitly reported in PDF",IF(AND(G122&gt;=X122,G122&lt;=Y122),"Within PDF value/range",IF(MIN(ABS(G122-X122),ABS(G122-Y122))&lt;=15,"Within 15 ms of PDF","Different from PDF")))</x:f>
        <x:v>Not explicitly reported in PDF</x:v>
      </x:c>
    </x:row>
    <x:row r="123">
      <x:c r="A123" s="20" t="str">
        <x:v>AVP</x:v>
      </x:c>
      <x:c r="B123" s="20" t="str">
        <x:v>Anteroventral preoptic nucleus</x:v>
      </x:c>
      <x:c r="C123" s="20" t="str">
        <x:v>Hypothalamus</x:v>
      </x:c>
      <x:c r="D123" s="24" t="n">
        <x:v>3</x:v>
      </x:c>
      <x:c r="E123" s="24" t="n">
        <x:v>15</x:v>
      </x:c>
      <x:c r="F123" s="25" t="n">
        <x:v>2.5437205612908045</x:v>
      </x:c>
      <x:c r="G123" s="25" t="n">
        <x:v>24.98751557068953</x:v>
      </x:c>
      <x:c r="H123" s="26" t="n">
        <x:v>0.8301698301698301</x:v>
      </x:c>
      <x:c r="I123" s="26" t="n">
        <x:v>0.901327244184387</x:v>
      </x:c>
      <x:c r="J123" s="27" t="b">
        <x:v>0</x:v>
      </x:c>
      <x:c r="K123" s="27" t="b">
        <x:v>0</x:v>
      </x:c>
      <x:c r="L123" s="24" t="b">
        <x:f>AND(J123,K123)</x:f>
        <x:v>0</x:v>
      </x:c>
      <x:c r="M123" s="29" t="b">
        <x:v>0</x:v>
      </x:c>
      <x:c r="N123" s="30"/>
      <x:c r="O123" s="31"/>
      <x:c r="P123" s="31"/>
      <x:c r="Q123" s="31"/>
      <x:c r="R123" s="31"/>
      <x:c r="S123" s="33" t="str">
        <x:f>IF(OR(G123="",P123=""),"",G123-P123)</x:f>
      </x:c>
      <x:c r="T123" s="33" t="str">
        <x:f>IF(S123="","",ABS(S123))</x:f>
      </x:c>
      <x:c r="U123" s="34" t="str">
        <x:f>IF(M123=FALSE,"Not analysed in paper",IF(K123=N123,"Significance agrees",IF(K123=TRUE,"User only","Paper only")))</x:f>
        <x:v>Not analysed in paper</x:v>
      </x:c>
      <x:c r="V123" s="34" t="str">
        <x:f>IF(M123=FALSE,"Not analysed in paper",IF(L123=FALSE,"User not reliable/significant",IF(N123=FALSE,"Paper not significant",IF(P123="","Exact paper latency unavailable",IF(T123&lt;=10,"Close (&lt;=10 ms)",IF(T123&lt;=20,"Similar (10-20 ms)","Different (&gt;20 ms)"))))))</x:f>
        <x:v>Not analysed in paper</x:v>
      </x:c>
      <x:c r="W123" s="37" t="b">
        <x:v>0</x:v>
      </x:c>
      <x:c r="X123" s="38"/>
      <x:c r="Y123" s="38"/>
      <x:c r="Z123" s="39"/>
      <x:c r="AA123" s="39" t="str">
        <x:f>IF(W123=FALSE,"Not explicitly reported in PDF",IF(AND(G123&gt;=X123,G123&lt;=Y123),"Within PDF value/range",IF(MIN(ABS(G123-X123),ABS(G123-Y123))&lt;=15,"Within 15 ms of PDF","Different from PDF")))</x:f>
        <x:v>Not explicitly reported in PDF</x:v>
      </x:c>
    </x:row>
    <x:row r="124">
      <x:c r="A124" s="20" t="str">
        <x:v>DMH</x:v>
      </x:c>
      <x:c r="B124" s="20" t="str">
        <x:v>Dorsomedial nucleus of the hypothalamus</x:v>
      </x:c>
      <x:c r="C124" s="20" t="str">
        <x:v>Hypothalamus</x:v>
      </x:c>
      <x:c r="D124" s="24" t="n">
        <x:v>2</x:v>
      </x:c>
      <x:c r="E124" s="24" t="n">
        <x:v>16</x:v>
      </x:c>
      <x:c r="F124" s="25" t="n">
        <x:v>2.269655022256595</x:v>
      </x:c>
      <x:c r="G124" s="25" t="n">
        <x:v>40.899229607562575</x:v>
      </x:c>
      <x:c r="H124" s="26" t="n">
        <x:v>0.2937062937062937</x:v>
      </x:c>
      <x:c r="I124" s="26" t="n">
        <x:v>0.4489992765854834</x:v>
      </x:c>
      <x:c r="J124" s="27" t="b">
        <x:v>0</x:v>
      </x:c>
      <x:c r="K124" s="27" t="b">
        <x:v>0</x:v>
      </x:c>
      <x:c r="L124" s="24" t="b">
        <x:f>AND(J124,K124)</x:f>
        <x:v>0</x:v>
      </x:c>
      <x:c r="M124" s="29" t="b">
        <x:v>0</x:v>
      </x:c>
      <x:c r="N124" s="30"/>
      <x:c r="O124" s="31"/>
      <x:c r="P124" s="31"/>
      <x:c r="Q124" s="31"/>
      <x:c r="R124" s="31"/>
      <x:c r="S124" s="33" t="str">
        <x:f>IF(OR(G124="",P124=""),"",G124-P124)</x:f>
      </x:c>
      <x:c r="T124" s="33" t="str">
        <x:f>IF(S124="","",ABS(S124))</x:f>
      </x:c>
      <x:c r="U124" s="34" t="str">
        <x:f>IF(M124=FALSE,"Not analysed in paper",IF(K124=N124,"Significance agrees",IF(K124=TRUE,"User only","Paper only")))</x:f>
        <x:v>Not analysed in paper</x:v>
      </x:c>
      <x:c r="V124" s="34" t="str">
        <x:f>IF(M124=FALSE,"Not analysed in paper",IF(L124=FALSE,"User not reliable/significant",IF(N124=FALSE,"Paper not significant",IF(P124="","Exact paper latency unavailable",IF(T124&lt;=10,"Close (&lt;=10 ms)",IF(T124&lt;=20,"Similar (10-20 ms)","Different (&gt;20 ms)"))))))</x:f>
        <x:v>Not analysed in paper</x:v>
      </x:c>
      <x:c r="W124" s="37" t="b">
        <x:v>0</x:v>
      </x:c>
      <x:c r="X124" s="38"/>
      <x:c r="Y124" s="38"/>
      <x:c r="Z124" s="39"/>
      <x:c r="AA124" s="39" t="str">
        <x:f>IF(W124=FALSE,"Not explicitly reported in PDF",IF(AND(G124&gt;=X124,G124&lt;=Y124),"Within PDF value/range",IF(MIN(ABS(G124-X124),ABS(G124-Y124))&lt;=15,"Within 15 ms of PDF","Different from PDF")))</x:f>
        <x:v>Not explicitly reported in PDF</x:v>
      </x:c>
    </x:row>
    <x:row r="125">
      <x:c r="A125" s="20" t="str">
        <x:v>LHA</x:v>
      </x:c>
      <x:c r="B125" s="20" t="str">
        <x:v>Lateral hypothalamic area</x:v>
      </x:c>
      <x:c r="C125" s="20" t="str">
        <x:v>Hypothalamus</x:v>
      </x:c>
      <x:c r="D125" s="24" t="n">
        <x:v>14</x:v>
      </x:c>
      <x:c r="E125" s="24" t="n">
        <x:v>166</x:v>
      </x:c>
      <x:c r="F125" s="25" t="n">
        <x:v>1.5845758996129131</x:v>
      </x:c>
      <x:c r="G125" s="25" t="n">
        <x:v>83.88684224695814</x:v>
      </x:c>
      <x:c r="H125" s="26" t="n">
        <x:v>0.0339660339660339</x:v>
      </x:c>
      <x:c r="I125" s="26" t="n">
        <x:v>0.0877181071355828</x:v>
      </x:c>
      <x:c r="J125" s="27" t="b">
        <x:v>1</x:v>
      </x:c>
      <x:c r="K125" s="27" t="b">
        <x:v>0</x:v>
      </x:c>
      <x:c r="L125" s="24" t="b">
        <x:f>AND(J125,K125)</x:f>
        <x:v>0</x:v>
      </x:c>
      <x:c r="M125" s="29" t="b">
        <x:v>1</x:v>
      </x:c>
      <x:c r="N125" s="30" t="n">
        <x:v>0</x:v>
      </x:c>
      <x:c r="O125" s="31" t="n">
        <x:v>-0.81</x:v>
      </x:c>
      <x:c r="P125" s="31" t="n">
        <x:v>95.7446808510638</x:v>
      </x:c>
      <x:c r="Q125" s="31" t="n">
        <x:v>0.1995777098963884</x:v>
      </x:c>
      <x:c r="R125" s="31" t="n">
        <x:v>0</x:v>
      </x:c>
      <x:c r="S125" s="33" t="n">
        <x:f>IF(OR(G125="",P125=""),"",G125-P125)</x:f>
        <x:v>-11.857838604105666</x:v>
      </x:c>
      <x:c r="T125" s="33" t="n">
        <x:f>IF(S125="","",ABS(S125))</x:f>
        <x:v>11.857838604105666</x:v>
      </x:c>
      <x:c r="U125" s="34" t="str">
        <x:f>IF(M125=FALSE,"Not analysed in paper",IF(K125=N125,"Significance agrees",IF(K125=TRUE,"User only","Paper only")))</x:f>
        <x:v>Significance agrees</x:v>
      </x:c>
      <x:c r="V125" s="34" t="str">
        <x:f>IF(M125=FALSE,"Not analysed in paper",IF(L125=FALSE,"User not reliable/significant",IF(N125=FALSE,"Paper not significant",IF(P125="","Exact paper latency unavailable",IF(T125&lt;=10,"Close (&lt;=10 ms)",IF(T125&lt;=20,"Similar (10-20 ms)","Different (&gt;20 ms)"))))))</x:f>
        <x:v>User not reliable/significant</x:v>
      </x:c>
      <x:c r="W125" s="37" t="b">
        <x:v>0</x:v>
      </x:c>
      <x:c r="X125" s="38"/>
      <x:c r="Y125" s="38"/>
      <x:c r="Z125" s="39"/>
      <x:c r="AA125" s="39" t="str">
        <x:f>IF(W125=FALSE,"Not explicitly reported in PDF",IF(AND(G125&gt;=X125,G125&lt;=Y125),"Within PDF value/range",IF(MIN(ABS(G125-X125),ABS(G125-Y125))&lt;=15,"Within 15 ms of PDF","Different from PDF")))</x:f>
        <x:v>Not explicitly reported in PDF</x:v>
      </x:c>
    </x:row>
    <x:row r="126">
      <x:c r="A126" s="20" t="str">
        <x:v>LM</x:v>
      </x:c>
      <x:c r="B126" s="20" t="str">
        <x:v>Lateral mammillary nucleus</x:v>
      </x:c>
      <x:c r="C126" s="20" t="str">
        <x:v>Hypothalamus</x:v>
      </x:c>
      <x:c r="D126" s="24" t="n">
        <x:v>1</x:v>
      </x:c>
      <x:c r="E126" s="24" t="n">
        <x:v>8</x:v>
      </x:c>
      <x:c r="F126" s="25" t="n">
        <x:v>3.718655898387942</x:v>
      </x:c>
      <x:c r="G126" s="25" t="n">
        <x:v>140.54567911367252</x:v>
      </x:c>
      <x:c r="H126" s="26" t="n">
        <x:v>0.4415584415584415</x:v>
      </x:c>
      <x:c r="I126" s="26" t="n">
        <x:v>0.5843509724106739</x:v>
      </x:c>
      <x:c r="J126" s="27" t="b">
        <x:v>0</x:v>
      </x:c>
      <x:c r="K126" s="27" t="b">
        <x:v>0</x:v>
      </x:c>
      <x:c r="L126" s="24" t="b">
        <x:f>AND(J126,K126)</x:f>
        <x:v>0</x:v>
      </x:c>
      <x:c r="M126" s="29" t="b">
        <x:v>0</x:v>
      </x:c>
      <x:c r="N126" s="30"/>
      <x:c r="O126" s="31"/>
      <x:c r="P126" s="31"/>
      <x:c r="Q126" s="31"/>
      <x:c r="R126" s="31"/>
      <x:c r="S126" s="33" t="str">
        <x:f>IF(OR(G126="",P126=""),"",G126-P126)</x:f>
      </x:c>
      <x:c r="T126" s="33" t="str">
        <x:f>IF(S126="","",ABS(S126))</x:f>
      </x:c>
      <x:c r="U126" s="34" t="str">
        <x:f>IF(M126=FALSE,"Not analysed in paper",IF(K126=N126,"Significance agrees",IF(K126=TRUE,"User only","Paper only")))</x:f>
        <x:v>Not analysed in paper</x:v>
      </x:c>
      <x:c r="V126" s="34" t="str">
        <x:f>IF(M126=FALSE,"Not analysed in paper",IF(L126=FALSE,"User not reliable/significant",IF(N126=FALSE,"Paper not significant",IF(P126="","Exact paper latency unavailable",IF(T126&lt;=10,"Close (&lt;=10 ms)",IF(T126&lt;=20,"Similar (10-20 ms)","Different (&gt;20 ms)"))))))</x:f>
        <x:v>Not analysed in paper</x:v>
      </x:c>
      <x:c r="W126" s="37" t="b">
        <x:v>0</x:v>
      </x:c>
      <x:c r="X126" s="38"/>
      <x:c r="Y126" s="38"/>
      <x:c r="Z126" s="39"/>
      <x:c r="AA126" s="39" t="str">
        <x:f>IF(W126=FALSE,"Not explicitly reported in PDF",IF(AND(G126&gt;=X126,G126&lt;=Y126),"Within PDF value/range",IF(MIN(ABS(G126-X126),ABS(G126-Y126))&lt;=15,"Within 15 ms of PDF","Different from PDF")))</x:f>
        <x:v>Not explicitly reported in PDF</x:v>
      </x:c>
    </x:row>
    <x:row r="127">
      <x:c r="A127" s="20" t="str">
        <x:v>LPO</x:v>
      </x:c>
      <x:c r="B127" s="20" t="str">
        <x:v>Lateral preoptic area</x:v>
      </x:c>
      <x:c r="C127" s="20" t="str">
        <x:v>Hypothalamus</x:v>
      </x:c>
      <x:c r="D127" s="24" t="n">
        <x:v>3</x:v>
      </x:c>
      <x:c r="E127" s="24" t="n">
        <x:v>89</x:v>
      </x:c>
      <x:c r="F127" s="25" t="n">
        <x:v>5.260434881724216</x:v>
      </x:c>
      <x:c r="G127" s="25" t="n">
        <x:v>127.3629277836223</x:v>
      </x:c>
      <x:c r="H127" s="26" t="n">
        <x:v>0.0029970029970029</x:v>
      </x:c>
      <x:c r="I127" s="26" t="n">
        <x:v>0.0150415622113735</x:v>
      </x:c>
      <x:c r="J127" s="27" t="b">
        <x:v>1</x:v>
      </x:c>
      <x:c r="K127" s="27" t="b">
        <x:v>0</x:v>
      </x:c>
      <x:c r="L127" s="24" t="b">
        <x:f>AND(J127,K127)</x:f>
        <x:v>0</x:v>
      </x:c>
      <x:c r="M127" s="29" t="b">
        <x:v>1</x:v>
      </x:c>
      <x:c r="N127" s="30" t="n">
        <x:v>0</x:v>
      </x:c>
      <x:c r="O127" s="31" t="n">
        <x:v>-0.73</x:v>
      </x:c>
      <x:c r="P127" s="31"/>
      <x:c r="Q127" s="31"/>
      <x:c r="R127" s="31"/>
      <x:c r="S127" s="33" t="str">
        <x:f>IF(OR(G127="",P127=""),"",G127-P127)</x:f>
      </x:c>
      <x:c r="T127" s="33" t="str">
        <x:f>IF(S127="","",ABS(S127))</x:f>
      </x:c>
      <x:c r="U127" s="34" t="str">
        <x:f>IF(M127=FALSE,"Not analysed in paper",IF(K127=N127,"Significance agrees",IF(K127=TRUE,"User only","Paper only")))</x:f>
        <x:v>Significance agrees</x:v>
      </x:c>
      <x:c r="V127" s="34" t="str">
        <x:f>IF(M127=FALSE,"Not analysed in paper",IF(L127=FALSE,"User not reliable/significant",IF(N127=FALSE,"Paper not significant",IF(P127="","Exact paper latency unavailable",IF(T127&lt;=10,"Close (&lt;=10 ms)",IF(T127&lt;=20,"Similar (10-20 ms)","Different (&gt;20 ms)"))))))</x:f>
        <x:v>User not reliable/significant</x:v>
      </x:c>
      <x:c r="W127" s="37" t="b">
        <x:v>0</x:v>
      </x:c>
      <x:c r="X127" s="38"/>
      <x:c r="Y127" s="38"/>
      <x:c r="Z127" s="39"/>
      <x:c r="AA127" s="39" t="str">
        <x:f>IF(W127=FALSE,"Not explicitly reported in PDF",IF(AND(G127&gt;=X127,G127&lt;=Y127),"Within PDF value/range",IF(MIN(ABS(G127-X127),ABS(G127-Y127))&lt;=15,"Within 15 ms of PDF","Different from PDF")))</x:f>
        <x:v>Not explicitly reported in PDF</x:v>
      </x:c>
    </x:row>
    <x:row r="128">
      <x:c r="A128" s="20" t="str">
        <x:v>MEPO</x:v>
      </x:c>
      <x:c r="B128" s="20" t="str">
        <x:v>Median preoptic nucleus</x:v>
      </x:c>
      <x:c r="C128" s="20" t="str">
        <x:v>Hypothalamus</x:v>
      </x:c>
      <x:c r="D128" s="24" t="n">
        <x:v>1</x:v>
      </x:c>
      <x:c r="E128" s="24" t="n">
        <x:v>5</x:v>
      </x:c>
      <x:c r="F128" s="25" t="n">
        <x:v>4.005958814844961</x:v>
      </x:c>
      <x:c r="G128" s="25" t="n">
        <x:v>17.73612030933397</x:v>
      </x:c>
      <x:c r="H128" s="26" t="n">
        <x:v>0.1038961038961039</x:v>
      </x:c>
      <x:c r="I128" s="26" t="n">
        <x:v>0.2071164129987659</x:v>
      </x:c>
      <x:c r="J128" s="27" t="b">
        <x:v>0</x:v>
      </x:c>
      <x:c r="K128" s="27" t="b">
        <x:v>0</x:v>
      </x:c>
      <x:c r="L128" s="24" t="b">
        <x:f>AND(J128,K128)</x:f>
        <x:v>0</x:v>
      </x:c>
      <x:c r="M128" s="29" t="b">
        <x:v>0</x:v>
      </x:c>
      <x:c r="N128" s="30"/>
      <x:c r="O128" s="31"/>
      <x:c r="P128" s="31"/>
      <x:c r="Q128" s="31"/>
      <x:c r="R128" s="31"/>
      <x:c r="S128" s="33" t="str">
        <x:f>IF(OR(G128="",P128=""),"",G128-P128)</x:f>
      </x:c>
      <x:c r="T128" s="33" t="str">
        <x:f>IF(S128="","",ABS(S128))</x:f>
      </x:c>
      <x:c r="U128" s="34" t="str">
        <x:f>IF(M128=FALSE,"Not analysed in paper",IF(K128=N128,"Significance agrees",IF(K128=TRUE,"User only","Paper only")))</x:f>
        <x:v>Not analysed in paper</x:v>
      </x:c>
      <x:c r="V128" s="34" t="str">
        <x:f>IF(M128=FALSE,"Not analysed in paper",IF(L128=FALSE,"User not reliable/significant",IF(N128=FALSE,"Paper not significant",IF(P128="","Exact paper latency unavailable",IF(T128&lt;=10,"Close (&lt;=10 ms)",IF(T128&lt;=20,"Similar (10-20 ms)","Different (&gt;20 ms)"))))))</x:f>
        <x:v>Not analysed in paper</x:v>
      </x:c>
      <x:c r="W128" s="37" t="b">
        <x:v>0</x:v>
      </x:c>
      <x:c r="X128" s="38"/>
      <x:c r="Y128" s="38"/>
      <x:c r="Z128" s="39"/>
      <x:c r="AA128" s="39" t="str">
        <x:f>IF(W128=FALSE,"Not explicitly reported in PDF",IF(AND(G128&gt;=X128,G128&lt;=Y128),"Within PDF value/range",IF(MIN(ABS(G128-X128),ABS(G128-Y128))&lt;=15,"Within 15 ms of PDF","Different from PDF")))</x:f>
        <x:v>Not explicitly reported in PDF</x:v>
      </x:c>
    </x:row>
    <x:row r="129">
      <x:c r="A129" s="20" t="str">
        <x:v>MM</x:v>
      </x:c>
      <x:c r="B129" s="20" t="str">
        <x:v>Medial mammillary nucleus</x:v>
      </x:c>
      <x:c r="C129" s="20" t="str">
        <x:v>Hypothalamus</x:v>
      </x:c>
      <x:c r="D129" s="24" t="n">
        <x:v>1</x:v>
      </x:c>
      <x:c r="E129" s="24" t="n">
        <x:v>5</x:v>
      </x:c>
      <x:c r="F129" s="25" t="n">
        <x:v>8.46957478254679</x:v>
      </x:c>
      <x:c r="G129" s="25" t="n">
        <x:v>11.494125289275257</x:v>
      </x:c>
      <x:c r="H129" s="26" t="n">
        <x:v>0.0179820179820179</x:v>
      </x:c>
      <x:c r="I129" s="26" t="n">
        <x:v>0.0583319119904485</x:v>
      </x:c>
      <x:c r="J129" s="27" t="b">
        <x:v>0</x:v>
      </x:c>
      <x:c r="K129" s="27" t="b">
        <x:v>0</x:v>
      </x:c>
      <x:c r="L129" s="24" t="b">
        <x:f>AND(J129,K129)</x:f>
        <x:v>0</x:v>
      </x:c>
      <x:c r="M129" s="29" t="b">
        <x:v>0</x:v>
      </x:c>
      <x:c r="N129" s="30"/>
      <x:c r="O129" s="31"/>
      <x:c r="P129" s="31"/>
      <x:c r="Q129" s="31"/>
      <x:c r="R129" s="31"/>
      <x:c r="S129" s="33" t="str">
        <x:f>IF(OR(G129="",P129=""),"",G129-P129)</x:f>
      </x:c>
      <x:c r="T129" s="33" t="str">
        <x:f>IF(S129="","",ABS(S129))</x:f>
      </x:c>
      <x:c r="U129" s="34" t="str">
        <x:f>IF(M129=FALSE,"Not analysed in paper",IF(K129=N129,"Significance agrees",IF(K129=TRUE,"User only","Paper only")))</x:f>
        <x:v>Not analysed in paper</x:v>
      </x:c>
      <x:c r="V129" s="34" t="str">
        <x:f>IF(M129=FALSE,"Not analysed in paper",IF(L129=FALSE,"User not reliable/significant",IF(N129=FALSE,"Paper not significant",IF(P129="","Exact paper latency unavailable",IF(T129&lt;=10,"Close (&lt;=10 ms)",IF(T129&lt;=20,"Similar (10-20 ms)","Different (&gt;20 ms)"))))))</x:f>
        <x:v>Not analysed in paper</x:v>
      </x:c>
      <x:c r="W129" s="37" t="b">
        <x:v>0</x:v>
      </x:c>
      <x:c r="X129" s="38"/>
      <x:c r="Y129" s="38"/>
      <x:c r="Z129" s="39"/>
      <x:c r="AA129" s="39" t="str">
        <x:f>IF(W129=FALSE,"Not explicitly reported in PDF",IF(AND(G129&gt;=X129,G129&lt;=Y129),"Within PDF value/range",IF(MIN(ABS(G129-X129),ABS(G129-Y129))&lt;=15,"Within 15 ms of PDF","Different from PDF")))</x:f>
        <x:v>Not explicitly reported in PDF</x:v>
      </x:c>
    </x:row>
    <x:row r="130">
      <x:c r="A130" s="20" t="str">
        <x:v>MPN</x:v>
      </x:c>
      <x:c r="B130" s="20" t="str">
        <x:v>Medial preoptic nucleus</x:v>
      </x:c>
      <x:c r="C130" s="20" t="str">
        <x:v>Hypothalamus</x:v>
      </x:c>
      <x:c r="D130" s="24" t="n">
        <x:v>1</x:v>
      </x:c>
      <x:c r="E130" s="24" t="n">
        <x:v>2</x:v>
      </x:c>
      <x:c r="F130" s="25" t="n">
        <x:v>2.2717460048260367</x:v>
      </x:c>
      <x:c r="G130" s="25" t="n">
        <x:v>14.397045850791724</x:v>
      </x:c>
      <x:c r="H130" s="26" t="n">
        <x:v>0.5714285714285714</x:v>
      </x:c>
      <x:c r="I130" s="26" t="n">
        <x:v>0.6940639269406392</x:v>
      </x:c>
      <x:c r="J130" s="27" t="b">
        <x:v>0</x:v>
      </x:c>
      <x:c r="K130" s="27" t="b">
        <x:v>0</x:v>
      </x:c>
      <x:c r="L130" s="24" t="b">
        <x:f>AND(J130,K130)</x:f>
        <x:v>0</x:v>
      </x:c>
      <x:c r="M130" s="29" t="b">
        <x:v>0</x:v>
      </x:c>
      <x:c r="N130" s="30"/>
      <x:c r="O130" s="31"/>
      <x:c r="P130" s="31"/>
      <x:c r="Q130" s="31"/>
      <x:c r="R130" s="31"/>
      <x:c r="S130" s="33" t="str">
        <x:f>IF(OR(G130="",P130=""),"",G130-P130)</x:f>
      </x:c>
      <x:c r="T130" s="33" t="str">
        <x:f>IF(S130="","",ABS(S130))</x:f>
      </x:c>
      <x:c r="U130" s="34" t="str">
        <x:f>IF(M130=FALSE,"Not analysed in paper",IF(K130=N130,"Significance agrees",IF(K130=TRUE,"User only","Paper only")))</x:f>
        <x:v>Not analysed in paper</x:v>
      </x:c>
      <x:c r="V130" s="34" t="str">
        <x:f>IF(M130=FALSE,"Not analysed in paper",IF(L130=FALSE,"User not reliable/significant",IF(N130=FALSE,"Paper not significant",IF(P130="","Exact paper latency unavailable",IF(T130&lt;=10,"Close (&lt;=10 ms)",IF(T130&lt;=20,"Similar (10-20 ms)","Different (&gt;20 ms)"))))))</x:f>
        <x:v>Not analysed in paper</x:v>
      </x:c>
      <x:c r="W130" s="37" t="b">
        <x:v>0</x:v>
      </x:c>
      <x:c r="X130" s="38"/>
      <x:c r="Y130" s="38"/>
      <x:c r="Z130" s="39"/>
      <x:c r="AA130" s="39" t="str">
        <x:f>IF(W130=FALSE,"Not explicitly reported in PDF",IF(AND(G130&gt;=X130,G130&lt;=Y130),"Within PDF value/range",IF(MIN(ABS(G130-X130),ABS(G130-Y130))&lt;=15,"Within 15 ms of PDF","Different from PDF")))</x:f>
        <x:v>Not explicitly reported in PDF</x:v>
      </x:c>
    </x:row>
    <x:row r="131">
      <x:c r="A131" s="20" t="str">
        <x:v>MPO</x:v>
      </x:c>
      <x:c r="B131" s="20" t="str">
        <x:v>Medial preoptic area</x:v>
      </x:c>
      <x:c r="C131" s="20" t="str">
        <x:v>Hypothalamus</x:v>
      </x:c>
      <x:c r="D131" s="24" t="n">
        <x:v>4</x:v>
      </x:c>
      <x:c r="E131" s="24" t="n">
        <x:v>40</x:v>
      </x:c>
      <x:c r="F131" s="25" t="n">
        <x:v>2.2212388089716413</x:v>
      </x:c>
      <x:c r="G131" s="25" t="n">
        <x:v>21.807977116030067</x:v>
      </x:c>
      <x:c r="H131" s="26" t="n">
        <x:v>0.0149850149850149</x:v>
      </x:c>
      <x:c r="I131" s="26" t="n">
        <x:v>0.0511027434104357</x:v>
      </x:c>
      <x:c r="J131" s="27" t="b">
        <x:v>1</x:v>
      </x:c>
      <x:c r="K131" s="27" t="b">
        <x:v>0</x:v>
      </x:c>
      <x:c r="L131" s="24" t="b">
        <x:f>AND(J131,K131)</x:f>
        <x:v>0</x:v>
      </x:c>
      <x:c r="M131" s="29" t="b">
        <x:v>1</x:v>
      </x:c>
      <x:c r="N131" s="30" t="n">
        <x:v>0</x:v>
      </x:c>
      <x:c r="O131" s="31" t="n">
        <x:v>-0.63</x:v>
      </x:c>
      <x:c r="P131" s="31" t="n">
        <x:v>17.021276595744602</x:v>
      </x:c>
      <x:c r="Q131" s="31" t="n">
        <x:v>0.2722776540714716</x:v>
      </x:c>
      <x:c r="R131" s="31" t="n">
        <x:v>0</x:v>
      </x:c>
      <x:c r="S131" s="33" t="n">
        <x:f>IF(OR(G131="",P131=""),"",G131-P131)</x:f>
        <x:v>4.786700520285464</x:v>
      </x:c>
      <x:c r="T131" s="33" t="n">
        <x:f>IF(S131="","",ABS(S131))</x:f>
        <x:v>4.786700520285464</x:v>
      </x:c>
      <x:c r="U131" s="34" t="str">
        <x:f>IF(M131=FALSE,"Not analysed in paper",IF(K131=N131,"Significance agrees",IF(K131=TRUE,"User only","Paper only")))</x:f>
        <x:v>Significance agrees</x:v>
      </x:c>
      <x:c r="V131" s="34" t="str">
        <x:f>IF(M131=FALSE,"Not analysed in paper",IF(L131=FALSE,"User not reliable/significant",IF(N131=FALSE,"Paper not significant",IF(P131="","Exact paper latency unavailable",IF(T131&lt;=10,"Close (&lt;=10 ms)",IF(T131&lt;=20,"Similar (10-20 ms)","Different (&gt;20 ms)"))))))</x:f>
        <x:v>User not reliable/significant</x:v>
      </x:c>
      <x:c r="W131" s="37" t="b">
        <x:v>0</x:v>
      </x:c>
      <x:c r="X131" s="38"/>
      <x:c r="Y131" s="38"/>
      <x:c r="Z131" s="39"/>
      <x:c r="AA131" s="39" t="str">
        <x:f>IF(W131=FALSE,"Not explicitly reported in PDF",IF(AND(G131&gt;=X131,G131&lt;=Y131),"Within PDF value/range",IF(MIN(ABS(G131-X131),ABS(G131-Y131))&lt;=15,"Within 15 ms of PDF","Different from PDF")))</x:f>
        <x:v>Not explicitly reported in PDF</x:v>
      </x:c>
    </x:row>
    <x:row r="132">
      <x:c r="A132" s="20" t="str">
        <x:v>PH</x:v>
      </x:c>
      <x:c r="B132" s="20" t="str">
        <x:v>Posterior hypothalamic nucleus</x:v>
      </x:c>
      <x:c r="C132" s="20" t="str">
        <x:v>Hypothalamus</x:v>
      </x:c>
      <x:c r="D132" s="24" t="n">
        <x:v>7</x:v>
      </x:c>
      <x:c r="E132" s="24" t="n">
        <x:v>24</x:v>
      </x:c>
      <x:c r="F132" s="25" t="n">
        <x:v>1.9709698781339624</x:v>
      </x:c>
      <x:c r="G132" s="25" t="n">
        <x:v>40.80993604359619</x:v>
      </x:c>
      <x:c r="H132" s="26" t="n">
        <x:v>0.4395604395604395</x:v>
      </x:c>
      <x:c r="I132" s="26" t="n">
        <x:v>0.5843509724106739</x:v>
      </x:c>
      <x:c r="J132" s="27" t="b">
        <x:v>1</x:v>
      </x:c>
      <x:c r="K132" s="27" t="b">
        <x:v>0</x:v>
      </x:c>
      <x:c r="L132" s="24" t="b">
        <x:f>AND(J132,K132)</x:f>
        <x:v>0</x:v>
      </x:c>
      <x:c r="M132" s="29" t="b">
        <x:v>0</x:v>
      </x:c>
      <x:c r="N132" s="30"/>
      <x:c r="O132" s="31"/>
      <x:c r="P132" s="31"/>
      <x:c r="Q132" s="31"/>
      <x:c r="R132" s="31"/>
      <x:c r="S132" s="33" t="str">
        <x:f>IF(OR(G132="",P132=""),"",G132-P132)</x:f>
      </x:c>
      <x:c r="T132" s="33" t="str">
        <x:f>IF(S132="","",ABS(S132))</x:f>
      </x:c>
      <x:c r="U132" s="34" t="str">
        <x:f>IF(M132=FALSE,"Not analysed in paper",IF(K132=N132,"Significance agrees",IF(K132=TRUE,"User only","Paper only")))</x:f>
        <x:v>Not analysed in paper</x:v>
      </x:c>
      <x:c r="V132" s="34" t="str">
        <x:f>IF(M132=FALSE,"Not analysed in paper",IF(L132=FALSE,"User not reliable/significant",IF(N132=FALSE,"Paper not significant",IF(P132="","Exact paper latency unavailable",IF(T132&lt;=10,"Close (&lt;=10 ms)",IF(T132&lt;=20,"Similar (10-20 ms)","Different (&gt;20 ms)"))))))</x:f>
        <x:v>Not analysed in paper</x:v>
      </x:c>
      <x:c r="W132" s="37" t="b">
        <x:v>0</x:v>
      </x:c>
      <x:c r="X132" s="38"/>
      <x:c r="Y132" s="38"/>
      <x:c r="Z132" s="39"/>
      <x:c r="AA132" s="39" t="str">
        <x:f>IF(W132=FALSE,"Not explicitly reported in PDF",IF(AND(G132&gt;=X132,G132&lt;=Y132),"Within PDF value/range",IF(MIN(ABS(G132-X132),ABS(G132-Y132))&lt;=15,"Within 15 ms of PDF","Different from PDF")))</x:f>
        <x:v>Not explicitly reported in PDF</x:v>
      </x:c>
    </x:row>
    <x:row r="133">
      <x:c r="A133" s="20" t="str">
        <x:v>PMd</x:v>
      </x:c>
      <x:c r="B133" s="20" t="str">
        <x:v>Dorsal premammillary nucleus</x:v>
      </x:c>
      <x:c r="C133" s="20" t="str">
        <x:v>Hypothalamus</x:v>
      </x:c>
      <x:c r="D133" s="24" t="n">
        <x:v>1</x:v>
      </x:c>
      <x:c r="E133" s="24" t="n">
        <x:v>2</x:v>
      </x:c>
      <x:c r="F133" s="25" t="n">
        <x:v>4.43829897559027</x:v>
      </x:c>
      <x:c r="G133" s="25" t="n">
        <x:v>50.64697803862132</x:v>
      </x:c>
      <x:c r="H133" s="26" t="n">
        <x:v>0.4985014985014985</x:v>
      </x:c>
      <x:c r="I133" s="26" t="n">
        <x:v>0.6405864666734232</x:v>
      </x:c>
      <x:c r="J133" s="27" t="b">
        <x:v>0</x:v>
      </x:c>
      <x:c r="K133" s="27" t="b">
        <x:v>0</x:v>
      </x:c>
      <x:c r="L133" s="24" t="b">
        <x:f>AND(J133,K133)</x:f>
        <x:v>0</x:v>
      </x:c>
      <x:c r="M133" s="29" t="b">
        <x:v>0</x:v>
      </x:c>
      <x:c r="N133" s="30"/>
      <x:c r="O133" s="31"/>
      <x:c r="P133" s="31"/>
      <x:c r="Q133" s="31"/>
      <x:c r="R133" s="31"/>
      <x:c r="S133" s="33" t="str">
        <x:f>IF(OR(G133="",P133=""),"",G133-P133)</x:f>
      </x:c>
      <x:c r="T133" s="33" t="str">
        <x:f>IF(S133="","",ABS(S133))</x:f>
      </x:c>
      <x:c r="U133" s="34" t="str">
        <x:f>IF(M133=FALSE,"Not analysed in paper",IF(K133=N133,"Significance agrees",IF(K133=TRUE,"User only","Paper only")))</x:f>
        <x:v>Not analysed in paper</x:v>
      </x:c>
      <x:c r="V133" s="34" t="str">
        <x:f>IF(M133=FALSE,"Not analysed in paper",IF(L133=FALSE,"User not reliable/significant",IF(N133=FALSE,"Paper not significant",IF(P133="","Exact paper latency unavailable",IF(T133&lt;=10,"Close (&lt;=10 ms)",IF(T133&lt;=20,"Similar (10-20 ms)","Different (&gt;20 ms)"))))))</x:f>
        <x:v>Not analysed in paper</x:v>
      </x:c>
      <x:c r="W133" s="37" t="b">
        <x:v>0</x:v>
      </x:c>
      <x:c r="X133" s="38"/>
      <x:c r="Y133" s="38"/>
      <x:c r="Z133" s="39"/>
      <x:c r="AA133" s="39" t="str">
        <x:f>IF(W133=FALSE,"Not explicitly reported in PDF",IF(AND(G133&gt;=X133,G133&lt;=Y133),"Within PDF value/range",IF(MIN(ABS(G133-X133),ABS(G133-Y133))&lt;=15,"Within 15 ms of PDF","Different from PDF")))</x:f>
        <x:v>Not explicitly reported in PDF</x:v>
      </x:c>
    </x:row>
    <x:row r="134">
      <x:c r="A134" s="20" t="str">
        <x:v>PS</x:v>
      </x:c>
      <x:c r="B134" s="20" t="str">
        <x:v>Parastrial nucleus</x:v>
      </x:c>
      <x:c r="C134" s="20" t="str">
        <x:v>Hypothalamus</x:v>
      </x:c>
      <x:c r="D134" s="24" t="n">
        <x:v>2</x:v>
      </x:c>
      <x:c r="E134" s="24" t="n">
        <x:v>35</x:v>
      </x:c>
      <x:c r="F134" s="25" t="n">
        <x:v>2.0808095827740343</x:v>
      </x:c>
      <x:c r="G134" s="25" t="n">
        <x:v>64.01234684080941</x:v>
      </x:c>
      <x:c r="H134" s="26" t="n">
        <x:v>0.3756243756243756</x:v>
      </x:c>
      <x:c r="I134" s="26" t="n">
        <x:v>0.5258741258741259</x:v>
      </x:c>
      <x:c r="J134" s="27" t="b">
        <x:v>1</x:v>
      </x:c>
      <x:c r="K134" s="27" t="b">
        <x:v>0</x:v>
      </x:c>
      <x:c r="L134" s="24" t="b">
        <x:f>AND(J134,K134)</x:f>
        <x:v>0</x:v>
      </x:c>
      <x:c r="M134" s="29" t="b">
        <x:v>1</x:v>
      </x:c>
      <x:c r="N134" s="30" t="n">
        <x:v>0</x:v>
      </x:c>
      <x:c r="O134" s="31" t="n">
        <x:v>-0.59</x:v>
      </x:c>
      <x:c r="P134" s="31"/>
      <x:c r="Q134" s="31"/>
      <x:c r="R134" s="31"/>
      <x:c r="S134" s="33" t="str">
        <x:f>IF(OR(G134="",P134=""),"",G134-P134)</x:f>
      </x:c>
      <x:c r="T134" s="33" t="str">
        <x:f>IF(S134="","",ABS(S134))</x:f>
      </x:c>
      <x:c r="U134" s="34" t="str">
        <x:f>IF(M134=FALSE,"Not analysed in paper",IF(K134=N134,"Significance agrees",IF(K134=TRUE,"User only","Paper only")))</x:f>
        <x:v>Significance agrees</x:v>
      </x:c>
      <x:c r="V134" s="34" t="str">
        <x:f>IF(M134=FALSE,"Not analysed in paper",IF(L134=FALSE,"User not reliable/significant",IF(N134=FALSE,"Paper not significant",IF(P134="","Exact paper latency unavailable",IF(T134&lt;=10,"Close (&lt;=10 ms)",IF(T134&lt;=20,"Similar (10-20 ms)","Different (&gt;20 ms)"))))))</x:f>
        <x:v>User not reliable/significant</x:v>
      </x:c>
      <x:c r="W134" s="37" t="b">
        <x:v>0</x:v>
      </x:c>
      <x:c r="X134" s="38"/>
      <x:c r="Y134" s="38"/>
      <x:c r="Z134" s="39"/>
      <x:c r="AA134" s="39" t="str">
        <x:f>IF(W134=FALSE,"Not explicitly reported in PDF",IF(AND(G134&gt;=X134,G134&lt;=Y134),"Within PDF value/range",IF(MIN(ABS(G134-X134),ABS(G134-Y134))&lt;=15,"Within 15 ms of PDF","Different from PDF")))</x:f>
        <x:v>Not explicitly reported in PDF</x:v>
      </x:c>
    </x:row>
    <x:row r="135">
      <x:c r="A135" s="20" t="str">
        <x:v>PSTN</x:v>
      </x:c>
      <x:c r="B135" s="20" t="str">
        <x:v>Parasubthalamic nucleus</x:v>
      </x:c>
      <x:c r="C135" s="20" t="str">
        <x:v>Hypothalamus</x:v>
      </x:c>
      <x:c r="D135" s="24" t="n">
        <x:v>2</x:v>
      </x:c>
      <x:c r="E135" s="24" t="n">
        <x:v>8</x:v>
      </x:c>
      <x:c r="F135" s="25" t="n">
        <x:v>5.425508182204657</x:v>
      </x:c>
      <x:c r="G135" s="25" t="n">
        <x:v>110.09912360334786</x:v>
      </x:c>
      <x:c r="H135" s="26" t="n">
        <x:v>0.0869130869130869</x:v>
      </x:c>
      <x:c r="I135" s="26" t="n">
        <x:v>0.1834831834831835</x:v>
      </x:c>
      <x:c r="J135" s="27" t="b">
        <x:v>0</x:v>
      </x:c>
      <x:c r="K135" s="27" t="b">
        <x:v>0</x:v>
      </x:c>
      <x:c r="L135" s="24" t="b">
        <x:f>AND(J135,K135)</x:f>
        <x:v>0</x:v>
      </x:c>
      <x:c r="M135" s="29" t="b">
        <x:v>0</x:v>
      </x:c>
      <x:c r="N135" s="30"/>
      <x:c r="O135" s="31"/>
      <x:c r="P135" s="31"/>
      <x:c r="Q135" s="31"/>
      <x:c r="R135" s="31"/>
      <x:c r="S135" s="33" t="str">
        <x:f>IF(OR(G135="",P135=""),"",G135-P135)</x:f>
      </x:c>
      <x:c r="T135" s="33" t="str">
        <x:f>IF(S135="","",ABS(S135))</x:f>
      </x:c>
      <x:c r="U135" s="34" t="str">
        <x:f>IF(M135=FALSE,"Not analysed in paper",IF(K135=N135,"Significance agrees",IF(K135=TRUE,"User only","Paper only")))</x:f>
        <x:v>Not analysed in paper</x:v>
      </x:c>
      <x:c r="V135" s="34" t="str">
        <x:f>IF(M135=FALSE,"Not analysed in paper",IF(L135=FALSE,"User not reliable/significant",IF(N135=FALSE,"Paper not significant",IF(P135="","Exact paper latency unavailable",IF(T135&lt;=10,"Close (&lt;=10 ms)",IF(T135&lt;=20,"Similar (10-20 ms)","Different (&gt;20 ms)"))))))</x:f>
        <x:v>Not analysed in paper</x:v>
      </x:c>
      <x:c r="W135" s="37" t="b">
        <x:v>0</x:v>
      </x:c>
      <x:c r="X135" s="38"/>
      <x:c r="Y135" s="38"/>
      <x:c r="Z135" s="39"/>
      <x:c r="AA135" s="39" t="str">
        <x:f>IF(W135=FALSE,"Not explicitly reported in PDF",IF(AND(G135&gt;=X135,G135&lt;=Y135),"Within PDF value/range",IF(MIN(ABS(G135-X135),ABS(G135-Y135))&lt;=15,"Within 15 ms of PDF","Different from PDF")))</x:f>
        <x:v>Not explicitly reported in PDF</x:v>
      </x:c>
    </x:row>
    <x:row r="136">
      <x:c r="A136" s="20" t="str">
        <x:v>PVH</x:v>
      </x:c>
      <x:c r="B136" s="20" t="str">
        <x:v>Paraventricular hypothalamic nucleus</x:v>
      </x:c>
      <x:c r="C136" s="20" t="str">
        <x:v>Hypothalamus</x:v>
      </x:c>
      <x:c r="D136" s="24" t="n">
        <x:v>2</x:v>
      </x:c>
      <x:c r="E136" s="24" t="n">
        <x:v>5</x:v>
      </x:c>
      <x:c r="F136" s="25" t="n">
        <x:v>3.743057167918505</x:v>
      </x:c>
      <x:c r="G136" s="25" t="n">
        <x:v>69.72337125041388</x:v>
      </x:c>
      <x:c r="H136" s="26" t="n">
        <x:v>0.6753246753246753</x:v>
      </x:c>
      <x:c r="I136" s="26" t="n">
        <x:v>0.7733548502779272</x:v>
      </x:c>
      <x:c r="J136" s="27" t="b">
        <x:v>0</x:v>
      </x:c>
      <x:c r="K136" s="27" t="b">
        <x:v>0</x:v>
      </x:c>
      <x:c r="L136" s="24" t="b">
        <x:f>AND(J136,K136)</x:f>
        <x:v>0</x:v>
      </x:c>
      <x:c r="M136" s="29" t="b">
        <x:v>0</x:v>
      </x:c>
      <x:c r="N136" s="30"/>
      <x:c r="O136" s="31"/>
      <x:c r="P136" s="31"/>
      <x:c r="Q136" s="31"/>
      <x:c r="R136" s="31"/>
      <x:c r="S136" s="33" t="str">
        <x:f>IF(OR(G136="",P136=""),"",G136-P136)</x:f>
      </x:c>
      <x:c r="T136" s="33" t="str">
        <x:f>IF(S136="","",ABS(S136))</x:f>
      </x:c>
      <x:c r="U136" s="34" t="str">
        <x:f>IF(M136=FALSE,"Not analysed in paper",IF(K136=N136,"Significance agrees",IF(K136=TRUE,"User only","Paper only")))</x:f>
        <x:v>Not analysed in paper</x:v>
      </x:c>
      <x:c r="V136" s="34" t="str">
        <x:f>IF(M136=FALSE,"Not analysed in paper",IF(L136=FALSE,"User not reliable/significant",IF(N136=FALSE,"Paper not significant",IF(P136="","Exact paper latency unavailable",IF(T136&lt;=10,"Close (&lt;=10 ms)",IF(T136&lt;=20,"Similar (10-20 ms)","Different (&gt;20 ms)"))))))</x:f>
        <x:v>Not analysed in paper</x:v>
      </x:c>
      <x:c r="W136" s="37" t="b">
        <x:v>0</x:v>
      </x:c>
      <x:c r="X136" s="38"/>
      <x:c r="Y136" s="38"/>
      <x:c r="Z136" s="39"/>
      <x:c r="AA136" s="39" t="str">
        <x:f>IF(W136=FALSE,"Not explicitly reported in PDF",IF(AND(G136&gt;=X136,G136&lt;=Y136),"Within PDF value/range",IF(MIN(ABS(G136-X136),ABS(G136-Y136))&lt;=15,"Within 15 ms of PDF","Different from PDF")))</x:f>
        <x:v>Not explicitly reported in PDF</x:v>
      </x:c>
    </x:row>
    <x:row r="137">
      <x:c r="A137" s="20" t="str">
        <x:v>PVHd</x:v>
      </x:c>
      <x:c r="B137" s="20" t="str">
        <x:v>Paraventricular hypothalamic nucleus descending division</x:v>
      </x:c>
      <x:c r="C137" s="20" t="str">
        <x:v>Hypothalamus</x:v>
      </x:c>
      <x:c r="D137" s="24" t="n">
        <x:v>2</x:v>
      </x:c>
      <x:c r="E137" s="24" t="n">
        <x:v>6</x:v>
      </x:c>
      <x:c r="F137" s="25" t="n">
        <x:v>6.217101660331343</x:v>
      </x:c>
      <x:c r="G137" s="25" t="n">
        <x:v>51.42422174494975</x:v>
      </x:c>
      <x:c r="H137" s="26" t="n">
        <x:v>0.0619380619380619</x:v>
      </x:c>
      <x:c r="I137" s="26" t="n">
        <x:v>0.1372960372960373</x:v>
      </x:c>
      <x:c r="J137" s="27" t="b">
        <x:v>0</x:v>
      </x:c>
      <x:c r="K137" s="27" t="b">
        <x:v>0</x:v>
      </x:c>
      <x:c r="L137" s="24" t="b">
        <x:f>AND(J137,K137)</x:f>
        <x:v>0</x:v>
      </x:c>
      <x:c r="M137" s="29" t="b">
        <x:v>0</x:v>
      </x:c>
      <x:c r="N137" s="30"/>
      <x:c r="O137" s="31"/>
      <x:c r="P137" s="31"/>
      <x:c r="Q137" s="31"/>
      <x:c r="R137" s="31"/>
      <x:c r="S137" s="33" t="str">
        <x:f>IF(OR(G137="",P137=""),"",G137-P137)</x:f>
      </x:c>
      <x:c r="T137" s="33" t="str">
        <x:f>IF(S137="","",ABS(S137))</x:f>
      </x:c>
      <x:c r="U137" s="34" t="str">
        <x:f>IF(M137=FALSE,"Not analysed in paper",IF(K137=N137,"Significance agrees",IF(K137=TRUE,"User only","Paper only")))</x:f>
        <x:v>Not analysed in paper</x:v>
      </x:c>
      <x:c r="V137" s="34" t="str">
        <x:f>IF(M137=FALSE,"Not analysed in paper",IF(L137=FALSE,"User not reliable/significant",IF(N137=FALSE,"Paper not significant",IF(P137="","Exact paper latency unavailable",IF(T137&lt;=10,"Close (&lt;=10 ms)",IF(T137&lt;=20,"Similar (10-20 ms)","Different (&gt;20 ms)"))))))</x:f>
        <x:v>Not analysed in paper</x:v>
      </x:c>
      <x:c r="W137" s="37" t="b">
        <x:v>0</x:v>
      </x:c>
      <x:c r="X137" s="38"/>
      <x:c r="Y137" s="38"/>
      <x:c r="Z137" s="39"/>
      <x:c r="AA137" s="39" t="str">
        <x:f>IF(W137=FALSE,"Not explicitly reported in PDF",IF(AND(G137&gt;=X137,G137&lt;=Y137),"Within PDF value/range",IF(MIN(ABS(G137-X137),ABS(G137-Y137))&lt;=15,"Within 15 ms of PDF","Different from PDF")))</x:f>
        <x:v>Not explicitly reported in PDF</x:v>
      </x:c>
    </x:row>
    <x:row r="138">
      <x:c r="A138" s="20" t="str">
        <x:v>PeF</x:v>
      </x:c>
      <x:c r="B138" s="20" t="str">
        <x:v>Perifornical nucleus</x:v>
      </x:c>
      <x:c r="C138" s="20" t="str">
        <x:v>Hypothalamus</x:v>
      </x:c>
      <x:c r="D138" s="24" t="n">
        <x:v>3</x:v>
      </x:c>
      <x:c r="E138" s="24" t="n">
        <x:v>28</x:v>
      </x:c>
      <x:c r="F138" s="25" t="n">
        <x:v>4.244326575275367</x:v>
      </x:c>
      <x:c r="G138" s="25" t="n">
        <x:v>68.57174255513343</x:v>
      </x:c>
      <x:c r="H138" s="26" t="n">
        <x:v>0.0259740259740259</x:v>
      </x:c>
      <x:c r="I138" s="26" t="n">
        <x:v>0.0719696969696969</x:v>
      </x:c>
      <x:c r="J138" s="27" t="b">
        <x:v>1</x:v>
      </x:c>
      <x:c r="K138" s="27" t="b">
        <x:v>0</x:v>
      </x:c>
      <x:c r="L138" s="24" t="b">
        <x:f>AND(J138,K138)</x:f>
        <x:v>0</x:v>
      </x:c>
      <x:c r="M138" s="29" t="b">
        <x:v>1</x:v>
      </x:c>
      <x:c r="N138" s="30" t="n">
        <x:v>1</x:v>
      </x:c>
      <x:c r="O138" s="31" t="n">
        <x:v>-0.28</x:v>
      </x:c>
      <x:c r="P138" s="31" t="n">
        <x:v>63.829787234042506</x:v>
      </x:c>
      <x:c r="Q138" s="31" t="n">
        <x:v>0.551159254066864</x:v>
      </x:c>
      <x:c r="R138" s="31" t="n">
        <x:v>1</x:v>
      </x:c>
      <x:c r="S138" s="33" t="n">
        <x:f>IF(OR(G138="",P138=""),"",G138-P138)</x:f>
        <x:v>4.74195532109092</x:v>
      </x:c>
      <x:c r="T138" s="33" t="n">
        <x:f>IF(S138="","",ABS(S138))</x:f>
        <x:v>4.74195532109092</x:v>
      </x:c>
      <x:c r="U138" s="34" t="str">
        <x:f>IF(M138=FALSE,"Not analysed in paper",IF(K138=N138,"Significance agrees",IF(K138=TRUE,"User only","Paper only")))</x:f>
        <x:v>Paper only</x:v>
      </x:c>
      <x:c r="V138" s="34" t="str">
        <x:f>IF(M138=FALSE,"Not analysed in paper",IF(L138=FALSE,"User not reliable/significant",IF(N138=FALSE,"Paper not significant",IF(P138="","Exact paper latency unavailable",IF(T138&lt;=10,"Close (&lt;=10 ms)",IF(T138&lt;=20,"Similar (10-20 ms)","Different (&gt;20 ms)"))))))</x:f>
        <x:v>User not reliable/significant</x:v>
      </x:c>
      <x:c r="W138" s="37" t="b">
        <x:v>0</x:v>
      </x:c>
      <x:c r="X138" s="38"/>
      <x:c r="Y138" s="38"/>
      <x:c r="Z138" s="39"/>
      <x:c r="AA138" s="39" t="str">
        <x:f>IF(W138=FALSE,"Not explicitly reported in PDF",IF(AND(G138&gt;=X138,G138&lt;=Y138),"Within PDF value/range",IF(MIN(ABS(G138-X138),ABS(G138-Y138))&lt;=15,"Within 15 ms of PDF","Different from PDF")))</x:f>
        <x:v>Not explicitly reported in PDF</x:v>
      </x:c>
    </x:row>
    <x:row r="139">
      <x:c r="A139" s="20" t="str">
        <x:v>STN</x:v>
      </x:c>
      <x:c r="B139" s="20" t="str">
        <x:v>Subthalamic nucleus</x:v>
      </x:c>
      <x:c r="C139" s="20" t="str">
        <x:v>Hypothalamus</x:v>
      </x:c>
      <x:c r="D139" s="24" t="n">
        <x:v>3</x:v>
      </x:c>
      <x:c r="E139" s="24" t="n">
        <x:v>6</x:v>
      </x:c>
      <x:c r="F139" s="25" t="n">
        <x:v>22.799540732537295</x:v>
      </x:c>
      <x:c r="G139" s="25" t="n">
        <x:v>117.70386156170191</x:v>
      </x:c>
      <x:c r="H139" s="26" t="n">
        <x:v>0.0009990009990009</x:v>
      </x:c>
      <x:c r="I139" s="26" t="n">
        <x:v>0.0066433566433566</x:v>
      </x:c>
      <x:c r="J139" s="27" t="b">
        <x:v>0</x:v>
      </x:c>
      <x:c r="K139" s="27" t="b">
        <x:v>1</x:v>
      </x:c>
      <x:c r="L139" s="24" t="b">
        <x:f>AND(J139,K139)</x:f>
        <x:v>0</x:v>
      </x:c>
      <x:c r="M139" s="29" t="b">
        <x:v>0</x:v>
      </x:c>
      <x:c r="N139" s="30"/>
      <x:c r="O139" s="31"/>
      <x:c r="P139" s="31"/>
      <x:c r="Q139" s="31"/>
      <x:c r="R139" s="31"/>
      <x:c r="S139" s="33" t="str">
        <x:f>IF(OR(G139="",P139=""),"",G139-P139)</x:f>
      </x:c>
      <x:c r="T139" s="33" t="str">
        <x:f>IF(S139="","",ABS(S139))</x:f>
      </x:c>
      <x:c r="U139" s="34" t="str">
        <x:f>IF(M139=FALSE,"Not analysed in paper",IF(K139=N139,"Significance agrees",IF(K139=TRUE,"User only","Paper only")))</x:f>
        <x:v>Not analysed in paper</x:v>
      </x:c>
      <x:c r="V139" s="34" t="str">
        <x:f>IF(M139=FALSE,"Not analysed in paper",IF(L139=FALSE,"User not reliable/significant",IF(N139=FALSE,"Paper not significant",IF(P139="","Exact paper latency unavailable",IF(T139&lt;=10,"Close (&lt;=10 ms)",IF(T139&lt;=20,"Similar (10-20 ms)","Different (&gt;20 ms)"))))))</x:f>
        <x:v>Not analysed in paper</x:v>
      </x:c>
      <x:c r="W139" s="37" t="b">
        <x:v>0</x:v>
      </x:c>
      <x:c r="X139" s="38"/>
      <x:c r="Y139" s="38"/>
      <x:c r="Z139" s="39"/>
      <x:c r="AA139" s="39" t="str">
        <x:f>IF(W139=FALSE,"Not explicitly reported in PDF",IF(AND(G139&gt;=X139,G139&lt;=Y139),"Within PDF value/range",IF(MIN(ABS(G139-X139),ABS(G139-Y139))&lt;=15,"Within 15 ms of PDF","Different from PDF")))</x:f>
        <x:v>Not explicitly reported in PDF</x:v>
      </x:c>
    </x:row>
    <x:row r="140">
      <x:c r="A140" s="20" t="str">
        <x:v>SUM</x:v>
      </x:c>
      <x:c r="B140" s="20" t="str">
        <x:v>Supramammillary nucleus</x:v>
      </x:c>
      <x:c r="C140" s="20" t="str">
        <x:v>Hypothalamus</x:v>
      </x:c>
      <x:c r="D140" s="24" t="n">
        <x:v>4</x:v>
      </x:c>
      <x:c r="E140" s="24" t="n">
        <x:v>10</x:v>
      </x:c>
      <x:c r="F140" s="25" t="n">
        <x:v>10.308257693427873</x:v>
      </x:c>
      <x:c r="G140" s="25" t="n">
        <x:v>101.25697821333296</x:v>
      </x:c>
      <x:c r="H140" s="26" t="n">
        <x:v>0.0119880119880119</x:v>
      </x:c>
      <x:c r="I140" s="26" t="n">
        <x:v>0.043682345052208</x:v>
      </x:c>
      <x:c r="J140" s="27" t="b">
        <x:v>0</x:v>
      </x:c>
      <x:c r="K140" s="27" t="b">
        <x:v>0</x:v>
      </x:c>
      <x:c r="L140" s="24" t="b">
        <x:f>AND(J140,K140)</x:f>
        <x:v>0</x:v>
      </x:c>
      <x:c r="M140" s="29" t="b">
        <x:v>0</x:v>
      </x:c>
      <x:c r="N140" s="30"/>
      <x:c r="O140" s="31"/>
      <x:c r="P140" s="31"/>
      <x:c r="Q140" s="31"/>
      <x:c r="R140" s="31"/>
      <x:c r="S140" s="33" t="str">
        <x:f>IF(OR(G140="",P140=""),"",G140-P140)</x:f>
      </x:c>
      <x:c r="T140" s="33" t="str">
        <x:f>IF(S140="","",ABS(S140))</x:f>
      </x:c>
      <x:c r="U140" s="34" t="str">
        <x:f>IF(M140=FALSE,"Not analysed in paper",IF(K140=N140,"Significance agrees",IF(K140=TRUE,"User only","Paper only")))</x:f>
        <x:v>Not analysed in paper</x:v>
      </x:c>
      <x:c r="V140" s="34" t="str">
        <x:f>IF(M140=FALSE,"Not analysed in paper",IF(L140=FALSE,"User not reliable/significant",IF(N140=FALSE,"Paper not significant",IF(P140="","Exact paper latency unavailable",IF(T140&lt;=10,"Close (&lt;=10 ms)",IF(T140&lt;=20,"Similar (10-20 ms)","Different (&gt;20 ms)"))))))</x:f>
        <x:v>Not analysed in paper</x:v>
      </x:c>
      <x:c r="W140" s="37" t="b">
        <x:v>0</x:v>
      </x:c>
      <x:c r="X140" s="38"/>
      <x:c r="Y140" s="38"/>
      <x:c r="Z140" s="39"/>
      <x:c r="AA140" s="39" t="str">
        <x:f>IF(W140=FALSE,"Not explicitly reported in PDF",IF(AND(G140&gt;=X140,G140&lt;=Y140),"Within PDF value/range",IF(MIN(ABS(G140-X140),ABS(G140-Y140))&lt;=15,"Within 15 ms of PDF","Different from PDF")))</x:f>
        <x:v>Not explicitly reported in PDF</x:v>
      </x:c>
    </x:row>
    <x:row r="141">
      <x:c r="A141" s="20" t="str">
        <x:v>TU</x:v>
      </x:c>
      <x:c r="B141" s="20" t="str">
        <x:v>Tuberal nucleus</x:v>
      </x:c>
      <x:c r="C141" s="20" t="str">
        <x:v>Hypothalamus</x:v>
      </x:c>
      <x:c r="D141" s="24" t="n">
        <x:v>1</x:v>
      </x:c>
      <x:c r="E141" s="24" t="n">
        <x:v>8</x:v>
      </x:c>
      <x:c r="F141" s="25" t="n">
        <x:v>2.6891261531687354</x:v>
      </x:c>
      <x:c r="G141" s="25" t="n">
        <x:v>50.96552007557389</x:v>
      </x:c>
      <x:c r="H141" s="26" t="n">
        <x:v>0.4405594405594406</x:v>
      </x:c>
      <x:c r="I141" s="26" t="n">
        <x:v>0.5843509724106739</x:v>
      </x:c>
      <x:c r="J141" s="27" t="b">
        <x:v>0</x:v>
      </x:c>
      <x:c r="K141" s="27" t="b">
        <x:v>0</x:v>
      </x:c>
      <x:c r="L141" s="24" t="b">
        <x:f>AND(J141,K141)</x:f>
        <x:v>0</x:v>
      </x:c>
      <x:c r="M141" s="29" t="b">
        <x:v>0</x:v>
      </x:c>
      <x:c r="N141" s="30"/>
      <x:c r="O141" s="31"/>
      <x:c r="P141" s="31"/>
      <x:c r="Q141" s="31"/>
      <x:c r="R141" s="31"/>
      <x:c r="S141" s="33" t="str">
        <x:f>IF(OR(G141="",P141=""),"",G141-P141)</x:f>
      </x:c>
      <x:c r="T141" s="33" t="str">
        <x:f>IF(S141="","",ABS(S141))</x:f>
      </x:c>
      <x:c r="U141" s="34" t="str">
        <x:f>IF(M141=FALSE,"Not analysed in paper",IF(K141=N141,"Significance agrees",IF(K141=TRUE,"User only","Paper only")))</x:f>
        <x:v>Not analysed in paper</x:v>
      </x:c>
      <x:c r="V141" s="34" t="str">
        <x:f>IF(M141=FALSE,"Not analysed in paper",IF(L141=FALSE,"User not reliable/significant",IF(N141=FALSE,"Paper not significant",IF(P141="","Exact paper latency unavailable",IF(T141&lt;=10,"Close (&lt;=10 ms)",IF(T141&lt;=20,"Similar (10-20 ms)","Different (&gt;20 ms)"))))))</x:f>
        <x:v>Not analysed in paper</x:v>
      </x:c>
      <x:c r="W141" s="37" t="b">
        <x:v>0</x:v>
      </x:c>
      <x:c r="X141" s="38"/>
      <x:c r="Y141" s="38"/>
      <x:c r="Z141" s="39"/>
      <x:c r="AA141" s="39" t="str">
        <x:f>IF(W141=FALSE,"Not explicitly reported in PDF",IF(AND(G141&gt;=X141,G141&lt;=Y141),"Within PDF value/range",IF(MIN(ABS(G141-X141),ABS(G141-Y141))&lt;=15,"Within 15 ms of PDF","Different from PDF")))</x:f>
        <x:v>Not explicitly reported in PDF</x:v>
      </x:c>
    </x:row>
    <x:row r="142">
      <x:c r="A142" s="20" t="str">
        <x:v>VMH</x:v>
      </x:c>
      <x:c r="B142" s="20" t="str">
        <x:v>Ventromedial hypothalamic nucleus</x:v>
      </x:c>
      <x:c r="C142" s="20" t="str">
        <x:v>Hypothalamus</x:v>
      </x:c>
      <x:c r="D142" s="24" t="n">
        <x:v>1</x:v>
      </x:c>
      <x:c r="E142" s="24" t="n">
        <x:v>2</x:v>
      </x:c>
      <x:c r="F142" s="25" t="n">
        <x:v>3.6886346035804647</x:v>
      </x:c>
      <x:c r="G142" s="25" t="n">
        <x:v>63.37000756419692</x:v>
      </x:c>
      <x:c r="H142" s="26" t="n">
        <x:v>0.2827172827172827</x:v>
      </x:c>
      <x:c r="I142" s="26" t="n">
        <x:v>0.4346982497271514</x:v>
      </x:c>
      <x:c r="J142" s="27" t="b">
        <x:v>0</x:v>
      </x:c>
      <x:c r="K142" s="27" t="b">
        <x:v>0</x:v>
      </x:c>
      <x:c r="L142" s="24" t="b">
        <x:f>AND(J142,K142)</x:f>
        <x:v>0</x:v>
      </x:c>
      <x:c r="M142" s="29" t="b">
        <x:v>0</x:v>
      </x:c>
      <x:c r="N142" s="30"/>
      <x:c r="O142" s="31"/>
      <x:c r="P142" s="31"/>
      <x:c r="Q142" s="31"/>
      <x:c r="R142" s="31"/>
      <x:c r="S142" s="33" t="str">
        <x:f>IF(OR(G142="",P142=""),"",G142-P142)</x:f>
      </x:c>
      <x:c r="T142" s="33" t="str">
        <x:f>IF(S142="","",ABS(S142))</x:f>
      </x:c>
      <x:c r="U142" s="34" t="str">
        <x:f>IF(M142=FALSE,"Not analysed in paper",IF(K142=N142,"Significance agrees",IF(K142=TRUE,"User only","Paper only")))</x:f>
        <x:v>Not analysed in paper</x:v>
      </x:c>
      <x:c r="V142" s="34" t="str">
        <x:f>IF(M142=FALSE,"Not analysed in paper",IF(L142=FALSE,"User not reliable/significant",IF(N142=FALSE,"Paper not significant",IF(P142="","Exact paper latency unavailable",IF(T142&lt;=10,"Close (&lt;=10 ms)",IF(T142&lt;=20,"Similar (10-20 ms)","Different (&gt;20 ms)"))))))</x:f>
        <x:v>Not analysed in paper</x:v>
      </x:c>
      <x:c r="W142" s="37" t="b">
        <x:v>0</x:v>
      </x:c>
      <x:c r="X142" s="38"/>
      <x:c r="Y142" s="38"/>
      <x:c r="Z142" s="39"/>
      <x:c r="AA142" s="39" t="str">
        <x:f>IF(W142=FALSE,"Not explicitly reported in PDF",IF(AND(G142&gt;=X142,G142&lt;=Y142),"Within PDF value/range",IF(MIN(ABS(G142-X142),ABS(G142-Y142))&lt;=15,"Within 15 ms of PDF","Different from PDF")))</x:f>
        <x:v>Not explicitly reported in PDF</x:v>
      </x:c>
    </x:row>
    <x:row r="143">
      <x:c r="A143" s="20" t="str">
        <x:v>ZI</x:v>
      </x:c>
      <x:c r="B143" s="20" t="str">
        <x:v>Zona incerta</x:v>
      </x:c>
      <x:c r="C143" s="20" t="str">
        <x:v>Hypothalamus</x:v>
      </x:c>
      <x:c r="D143" s="24" t="n">
        <x:v>44</x:v>
      </x:c>
      <x:c r="E143" s="24" t="n">
        <x:v>352</x:v>
      </x:c>
      <x:c r="F143" s="25" t="n">
        <x:v>4.431982752106152</x:v>
      </x:c>
      <x:c r="G143" s="25" t="n">
        <x:v>114.17595141391008</x:v>
      </x:c>
      <x:c r="H143" s="26" t="n">
        <x:v>0.0009990009990009</x:v>
      </x:c>
      <x:c r="I143" s="26" t="n">
        <x:v>0.0066433566433566</x:v>
      </x:c>
      <x:c r="J143" s="27" t="b">
        <x:v>1</x:v>
      </x:c>
      <x:c r="K143" s="27" t="b">
        <x:v>1</x:v>
      </x:c>
      <x:c r="L143" s="24" t="b">
        <x:f>AND(J143,K143)</x:f>
        <x:v>1</x:v>
      </x:c>
      <x:c r="M143" s="29" t="b">
        <x:v>1</x:v>
      </x:c>
      <x:c r="N143" s="30" t="n">
        <x:v>1</x:v>
      </x:c>
      <x:c r="O143" s="31" t="n">
        <x:v>-0.45</x:v>
      </x:c>
      <x:c r="P143" s="31" t="n">
        <x:v>53.191489361702104</x:v>
      </x:c>
      <x:c r="Q143" s="31" t="n">
        <x:v>0.2883377782572836</x:v>
      </x:c>
      <x:c r="R143" s="31" t="n">
        <x:v>1</x:v>
      </x:c>
      <x:c r="S143" s="33" t="n">
        <x:f>IF(OR(G143="",P143=""),"",G143-P143)</x:f>
        <x:v>60.98446205220798</x:v>
      </x:c>
      <x:c r="T143" s="33" t="n">
        <x:f>IF(S143="","",ABS(S143))</x:f>
        <x:v>60.98446205220798</x:v>
      </x:c>
      <x:c r="U143" s="34" t="str">
        <x:f>IF(M143=FALSE,"Not analysed in paper",IF(K143=N143,"Significance agrees",IF(K143=TRUE,"User only","Paper only")))</x:f>
        <x:v>Significance agrees</x:v>
      </x:c>
      <x:c r="V143" s="34" t="str">
        <x:f>IF(M143=FALSE,"Not analysed in paper",IF(L143=FALSE,"User not reliable/significant",IF(N143=FALSE,"Paper not significant",IF(P143="","Exact paper latency unavailable",IF(T143&lt;=10,"Close (&lt;=10 ms)",IF(T143&lt;=20,"Similar (10-20 ms)","Different (&gt;20 ms)"))))))</x:f>
        <x:v>Different (&gt;20 ms)</x:v>
      </x:c>
      <x:c r="W143" s="37" t="b">
        <x:v>0</x:v>
      </x:c>
      <x:c r="X143" s="38"/>
      <x:c r="Y143" s="38"/>
      <x:c r="Z143" s="39"/>
      <x:c r="AA143" s="39" t="str">
        <x:f>IF(W143=FALSE,"Not explicitly reported in PDF",IF(AND(G143&gt;=X143,G143&lt;=Y143),"Within PDF value/range",IF(MIN(ABS(G143-X143),ABS(G143-Y143))&lt;=15,"Within 15 ms of PDF","Different from PDF")))</x:f>
        <x:v>Not explicitly reported in PDF</x:v>
      </x:c>
    </x:row>
    <x:row r="144">
      <x:c r="A144" s="20" t="str">
        <x:v>ACAd</x:v>
      </x:c>
      <x:c r="B144" s="20" t="str">
        <x:v>Anterior cingulate area dorsal part</x:v>
      </x:c>
      <x:c r="C144" s="20" t="str">
        <x:v>Isocortex</x:v>
      </x:c>
      <x:c r="D144" s="24" t="n">
        <x:v>24</x:v>
      </x:c>
      <x:c r="E144" s="24" t="n">
        <x:v>369</x:v>
      </x:c>
      <x:c r="F144" s="25" t="n">
        <x:v>2.5329062851947333</x:v>
      </x:c>
      <x:c r="G144" s="25" t="n">
        <x:v>101.3818071641544</x:v>
      </x:c>
      <x:c r="H144" s="26" t="n">
        <x:v>0.0009990009990009</x:v>
      </x:c>
      <x:c r="I144" s="26" t="n">
        <x:v>0.0066433566433566</x:v>
      </x:c>
      <x:c r="J144" s="27" t="b">
        <x:v>1</x:v>
      </x:c>
      <x:c r="K144" s="27" t="b">
        <x:v>1</x:v>
      </x:c>
      <x:c r="L144" s="24" t="b">
        <x:f>AND(J144,K144)</x:f>
        <x:v>1</x:v>
      </x:c>
      <x:c r="M144" s="29" t="b">
        <x:v>1</x:v>
      </x:c>
      <x:c r="N144" s="30" t="n">
        <x:v>1</x:v>
      </x:c>
      <x:c r="O144" s="31" t="n">
        <x:v>-0.66</x:v>
      </x:c>
      <x:c r="P144" s="31" t="n">
        <x:v>82.9787234042553</x:v>
      </x:c>
      <x:c r="Q144" s="31" t="n">
        <x:v>0.2291598565028229</x:v>
      </x:c>
      <x:c r="R144" s="31" t="n">
        <x:v>1</x:v>
      </x:c>
      <x:c r="S144" s="33" t="n">
        <x:f>IF(OR(G144="",P144=""),"",G144-P144)</x:f>
        <x:v>18.40308375989909</x:v>
      </x:c>
      <x:c r="T144" s="33" t="n">
        <x:f>IF(S144="","",ABS(S144))</x:f>
        <x:v>18.40308375989909</x:v>
      </x:c>
      <x:c r="U144" s="34" t="str">
        <x:f>IF(M144=FALSE,"Not analysed in paper",IF(K144=N144,"Significance agrees",IF(K144=TRUE,"User only","Paper only")))</x:f>
        <x:v>Significance agrees</x:v>
      </x:c>
      <x:c r="V144" s="34" t="str">
        <x:f>IF(M144=FALSE,"Not analysed in paper",IF(L144=FALSE,"User not reliable/significant",IF(N144=FALSE,"Paper not significant",IF(P144="","Exact paper latency unavailable",IF(T144&lt;=10,"Close (&lt;=10 ms)",IF(T144&lt;=20,"Similar (10-20 ms)","Different (&gt;20 ms)"))))))</x:f>
        <x:v>Similar (10-20 ms)</x:v>
      </x:c>
      <x:c r="W144" s="37" t="b">
        <x:v>0</x:v>
      </x:c>
      <x:c r="X144" s="38"/>
      <x:c r="Y144" s="38"/>
      <x:c r="Z144" s="39"/>
      <x:c r="AA144" s="39" t="str">
        <x:f>IF(W144=FALSE,"Not explicitly reported in PDF",IF(AND(G144&gt;=X144,G144&lt;=Y144),"Within PDF value/range",IF(MIN(ABS(G144-X144),ABS(G144-Y144))&lt;=15,"Within 15 ms of PDF","Different from PDF")))</x:f>
        <x:v>Not explicitly reported in PDF</x:v>
      </x:c>
    </x:row>
    <x:row r="145">
      <x:c r="A145" s="20" t="str">
        <x:v>ACAv</x:v>
      </x:c>
      <x:c r="B145" s="20" t="str">
        <x:v>Anterior cingulate area ventral part</x:v>
      </x:c>
      <x:c r="C145" s="20" t="str">
        <x:v>Isocortex</x:v>
      </x:c>
      <x:c r="D145" s="24" t="n">
        <x:v>15</x:v>
      </x:c>
      <x:c r="E145" s="24" t="n">
        <x:v>195</x:v>
      </x:c>
      <x:c r="F145" s="25" t="n">
        <x:v>0.9949519849937458</x:v>
      </x:c>
      <x:c r="G145" s="25" t="n">
        <x:v>101.90398906433828</x:v>
      </x:c>
      <x:c r="H145" s="26" t="n">
        <x:v>0.5244755244755245</x:v>
      </x:c>
      <x:c r="I145" s="26" t="n">
        <x:v>0.6675143038779403</x:v>
      </x:c>
      <x:c r="J145" s="27" t="b">
        <x:v>1</x:v>
      </x:c>
      <x:c r="K145" s="27" t="b">
        <x:v>0</x:v>
      </x:c>
      <x:c r="L145" s="24" t="b">
        <x:f>AND(J145,K145)</x:f>
        <x:v>0</x:v>
      </x:c>
      <x:c r="M145" s="29" t="b">
        <x:v>1</x:v>
      </x:c>
      <x:c r="N145" s="30" t="n">
        <x:v>0</x:v>
      </x:c>
      <x:c r="O145" s="31" t="n">
        <x:v>-1.18</x:v>
      </x:c>
      <x:c r="P145" s="31" t="n">
        <x:v>38.2978723404255</x:v>
      </x:c>
      <x:c r="Q145" s="31" t="n">
        <x:v>0.1043357127867922</x:v>
      </x:c>
      <x:c r="R145" s="31" t="n">
        <x:v>0</x:v>
      </x:c>
      <x:c r="S145" s="33" t="n">
        <x:f>IF(OR(G145="",P145=""),"",G145-P145)</x:f>
        <x:v>63.60611672391278</x:v>
      </x:c>
      <x:c r="T145" s="33" t="n">
        <x:f>IF(S145="","",ABS(S145))</x:f>
        <x:v>63.60611672391278</x:v>
      </x:c>
      <x:c r="U145" s="34" t="str">
        <x:f>IF(M145=FALSE,"Not analysed in paper",IF(K145=N145,"Significance agrees",IF(K145=TRUE,"User only","Paper only")))</x:f>
        <x:v>Significance agrees</x:v>
      </x:c>
      <x:c r="V145" s="34" t="str">
        <x:f>IF(M145=FALSE,"Not analysed in paper",IF(L145=FALSE,"User not reliable/significant",IF(N145=FALSE,"Paper not significant",IF(P145="","Exact paper latency unavailable",IF(T145&lt;=10,"Close (&lt;=10 ms)",IF(T145&lt;=20,"Similar (10-20 ms)","Different (&gt;20 ms)"))))))</x:f>
        <x:v>User not reliable/significant</x:v>
      </x:c>
      <x:c r="W145" s="37" t="b">
        <x:v>0</x:v>
      </x:c>
      <x:c r="X145" s="38"/>
      <x:c r="Y145" s="38"/>
      <x:c r="Z145" s="39"/>
      <x:c r="AA145" s="39" t="str">
        <x:f>IF(W145=FALSE,"Not explicitly reported in PDF",IF(AND(G145&gt;=X145,G145&lt;=Y145),"Within PDF value/range",IF(MIN(ABS(G145-X145),ABS(G145-Y145))&lt;=15,"Within 15 ms of PDF","Different from PDF")))</x:f>
        <x:v>Not explicitly reported in PDF</x:v>
      </x:c>
    </x:row>
    <x:row r="146">
      <x:c r="A146" s="20" t="str">
        <x:v>AId</x:v>
      </x:c>
      <x:c r="B146" s="20" t="str">
        <x:v>Agranular insular area dorsal part</x:v>
      </x:c>
      <x:c r="C146" s="20" t="str">
        <x:v>Isocortex</x:v>
      </x:c>
      <x:c r="D146" s="24" t="n">
        <x:v>10</x:v>
      </x:c>
      <x:c r="E146" s="24" t="n">
        <x:v>188</x:v>
      </x:c>
      <x:c r="F146" s="25" t="n">
        <x:v>1.3131102834624315</x:v>
      </x:c>
      <x:c r="G146" s="25" t="n">
        <x:v>101.18769670057084</x:v>
      </x:c>
      <x:c r="H146" s="26" t="n">
        <x:v>0.6163836163836164</x:v>
      </x:c>
      <x:c r="I146" s="26" t="n">
        <x:v>0.7287024087024087</x:v>
      </x:c>
      <x:c r="J146" s="27" t="b">
        <x:v>1</x:v>
      </x:c>
      <x:c r="K146" s="27" t="b">
        <x:v>0</x:v>
      </x:c>
      <x:c r="L146" s="24" t="b">
        <x:f>AND(J146,K146)</x:f>
        <x:v>0</x:v>
      </x:c>
      <x:c r="M146" s="29" t="b">
        <x:v>1</x:v>
      </x:c>
      <x:c r="N146" s="30" t="n">
        <x:v>0</x:v>
      </x:c>
      <x:c r="O146" s="31" t="n">
        <x:v>-0.85</x:v>
      </x:c>
      <x:c r="P146" s="31" t="n">
        <x:v>68.0851063829787</x:v>
      </x:c>
      <x:c r="Q146" s="31" t="n">
        <x:v>0.1286971046369472</x:v>
      </x:c>
      <x:c r="R146" s="31" t="n">
        <x:v>0</x:v>
      </x:c>
      <x:c r="S146" s="33" t="n">
        <x:f>IF(OR(G146="",P146=""),"",G146-P146)</x:f>
        <x:v>33.102590317592146</x:v>
      </x:c>
      <x:c r="T146" s="33" t="n">
        <x:f>IF(S146="","",ABS(S146))</x:f>
        <x:v>33.102590317592146</x:v>
      </x:c>
      <x:c r="U146" s="34" t="str">
        <x:f>IF(M146=FALSE,"Not analysed in paper",IF(K146=N146,"Significance agrees",IF(K146=TRUE,"User only","Paper only")))</x:f>
        <x:v>Significance agrees</x:v>
      </x:c>
      <x:c r="V146" s="34" t="str">
        <x:f>IF(M146=FALSE,"Not analysed in paper",IF(L146=FALSE,"User not reliable/significant",IF(N146=FALSE,"Paper not significant",IF(P146="","Exact paper latency unavailable",IF(T146&lt;=10,"Close (&lt;=10 ms)",IF(T146&lt;=20,"Similar (10-20 ms)","Different (&gt;20 ms)"))))))</x:f>
        <x:v>User not reliable/significant</x:v>
      </x:c>
      <x:c r="W146" s="37" t="b">
        <x:v>0</x:v>
      </x:c>
      <x:c r="X146" s="38"/>
      <x:c r="Y146" s="38"/>
      <x:c r="Z146" s="39"/>
      <x:c r="AA146" s="39" t="str">
        <x:f>IF(W146=FALSE,"Not explicitly reported in PDF",IF(AND(G146&gt;=X146,G146&lt;=Y146),"Within PDF value/range",IF(MIN(ABS(G146-X146),ABS(G146-Y146))&lt;=15,"Within 15 ms of PDF","Different from PDF")))</x:f>
        <x:v>Not explicitly reported in PDF</x:v>
      </x:c>
    </x:row>
    <x:row r="147">
      <x:c r="A147" s="20" t="str">
        <x:v>AIp</x:v>
      </x:c>
      <x:c r="B147" s="20" t="str">
        <x:v>Agranular insular area posterior part</x:v>
      </x:c>
      <x:c r="C147" s="20" t="str">
        <x:v>Isocortex</x:v>
      </x:c>
      <x:c r="D147" s="24" t="n">
        <x:v>6</x:v>
      </x:c>
      <x:c r="E147" s="24" t="n">
        <x:v>93</x:v>
      </x:c>
      <x:c r="F147" s="25" t="n">
        <x:v>3.2981069364410995</x:v>
      </x:c>
      <x:c r="G147" s="25" t="n">
        <x:v>137.72212026157197</x:v>
      </x:c>
      <x:c r="H147" s="26" t="n">
        <x:v>0.0109890109890109</x:v>
      </x:c>
      <x:c r="I147" s="26" t="n">
        <x:v>0.0405982905982906</x:v>
      </x:c>
      <x:c r="J147" s="27" t="b">
        <x:v>1</x:v>
      </x:c>
      <x:c r="K147" s="27" t="b">
        <x:v>0</x:v>
      </x:c>
      <x:c r="L147" s="24" t="b">
        <x:f>AND(J147,K147)</x:f>
        <x:v>0</x:v>
      </x:c>
      <x:c r="M147" s="29" t="b">
        <x:v>1</x:v>
      </x:c>
      <x:c r="N147" s="30" t="n">
        <x:v>0</x:v>
      </x:c>
      <x:c r="O147" s="31" t="n">
        <x:v>-0.92</x:v>
      </x:c>
      <x:c r="P147" s="31" t="n">
        <x:v>29.7872340425531</x:v>
      </x:c>
      <x:c r="Q147" s="31" t="n">
        <x:v>0.0792707634239482</x:v>
      </x:c>
      <x:c r="R147" s="31" t="n">
        <x:v>1</x:v>
      </x:c>
      <x:c r="S147" s="33" t="n">
        <x:f>IF(OR(G147="",P147=""),"",G147-P147)</x:f>
        <x:v>107.93488621901888</x:v>
      </x:c>
      <x:c r="T147" s="33" t="n">
        <x:f>IF(S147="","",ABS(S147))</x:f>
        <x:v>107.93488621901888</x:v>
      </x:c>
      <x:c r="U147" s="34" t="str">
        <x:f>IF(M147=FALSE,"Not analysed in paper",IF(K147=N147,"Significance agrees",IF(K147=TRUE,"User only","Paper only")))</x:f>
        <x:v>Significance agrees</x:v>
      </x:c>
      <x:c r="V147" s="34" t="str">
        <x:f>IF(M147=FALSE,"Not analysed in paper",IF(L147=FALSE,"User not reliable/significant",IF(N147=FALSE,"Paper not significant",IF(P147="","Exact paper latency unavailable",IF(T147&lt;=10,"Close (&lt;=10 ms)",IF(T147&lt;=20,"Similar (10-20 ms)","Different (&gt;20 ms)"))))))</x:f>
        <x:v>User not reliable/significant</x:v>
      </x:c>
      <x:c r="W147" s="37" t="b">
        <x:v>0</x:v>
      </x:c>
      <x:c r="X147" s="38"/>
      <x:c r="Y147" s="38"/>
      <x:c r="Z147" s="39"/>
      <x:c r="AA147" s="39" t="str">
        <x:f>IF(W147=FALSE,"Not explicitly reported in PDF",IF(AND(G147&gt;=X147,G147&lt;=Y147),"Within PDF value/range",IF(MIN(ABS(G147-X147),ABS(G147-Y147))&lt;=15,"Within 15 ms of PDF","Different from PDF")))</x:f>
        <x:v>Not explicitly reported in PDF</x:v>
      </x:c>
    </x:row>
    <x:row r="148">
      <x:c r="A148" s="20" t="str">
        <x:v>AIv</x:v>
      </x:c>
      <x:c r="B148" s="20" t="str">
        <x:v>Agranular insular area ventral part</x:v>
      </x:c>
      <x:c r="C148" s="20" t="str">
        <x:v>Isocortex</x:v>
      </x:c>
      <x:c r="D148" s="24" t="n">
        <x:v>6</x:v>
      </x:c>
      <x:c r="E148" s="24" t="n">
        <x:v>149</x:v>
      </x:c>
      <x:c r="F148" s="25" t="n">
        <x:v>1.0079797177299563</x:v>
      </x:c>
      <x:c r="G148" s="25" t="n">
        <x:v>121.55784877378534</x:v>
      </x:c>
      <x:c r="H148" s="26" t="n">
        <x:v>0.6123876123876124</x:v>
      </x:c>
      <x:c r="I148" s="26" t="n">
        <x:v>0.7272102897102898</x:v>
      </x:c>
      <x:c r="J148" s="27" t="b">
        <x:v>1</x:v>
      </x:c>
      <x:c r="K148" s="27" t="b">
        <x:v>0</x:v>
      </x:c>
      <x:c r="L148" s="24" t="b">
        <x:f>AND(J148,K148)</x:f>
        <x:v>0</x:v>
      </x:c>
      <x:c r="M148" s="29" t="b">
        <x:v>1</x:v>
      </x:c>
      <x:c r="N148" s="30" t="n">
        <x:v>1</x:v>
      </x:c>
      <x:c r="O148" s="31" t="n">
        <x:v>-0.95</x:v>
      </x:c>
      <x:c r="P148" s="31" t="n">
        <x:v>0</x:v>
      </x:c>
      <x:c r="Q148" s="31" t="n">
        <x:v>0.0800541694275563</x:v>
      </x:c>
      <x:c r="R148" s="31" t="n">
        <x:v>0</x:v>
      </x:c>
      <x:c r="S148" s="33" t="str">
        <x:f>IF(OR(G148="",P148=""),"",G148-P148)</x:f>
      </x:c>
      <x:c r="T148" s="33" t="str">
        <x:f>IF(S148="","",ABS(S148))</x:f>
      </x:c>
      <x:c r="U148" s="34" t="str">
        <x:f>IF(M148=FALSE,"Not analysed in paper",IF(K148=N148,"Significance agrees",IF(K148=TRUE,"User only","Paper only")))</x:f>
        <x:v>Paper only</x:v>
      </x:c>
      <x:c r="V148" s="34" t="str">
        <x:f>IF(M148=FALSE,"Not analysed in paper",IF(L148=FALSE,"User not reliable/significant",IF(N148=FALSE,"Paper not significant",IF(P148="","Exact paper latency unavailable",IF(T148&lt;=10,"Close (&lt;=10 ms)",IF(T148&lt;=20,"Similar (10-20 ms)","Different (&gt;20 ms)"))))))</x:f>
        <x:v>User not reliable/significant</x:v>
      </x:c>
      <x:c r="W148" s="37" t="b">
        <x:v>0</x:v>
      </x:c>
      <x:c r="X148" s="38"/>
      <x:c r="Y148" s="38"/>
      <x:c r="Z148" s="39"/>
      <x:c r="AA148" s="39" t="str">
        <x:f>IF(W148=FALSE,"Not explicitly reported in PDF",IF(AND(G148&gt;=X148,G148&lt;=Y148),"Within PDF value/range",IF(MIN(ABS(G148-X148),ABS(G148-Y148))&lt;=15,"Within 15 ms of PDF","Different from PDF")))</x:f>
        <x:v>Not explicitly reported in PDF</x:v>
      </x:c>
    </x:row>
    <x:row r="149">
      <x:c r="A149" s="20" t="str">
        <x:v>AUDd</x:v>
      </x:c>
      <x:c r="B149" s="20" t="str">
        <x:v>Dorsal auditory area</x:v>
      </x:c>
      <x:c r="C149" s="20" t="str">
        <x:v>Isocortex</x:v>
      </x:c>
      <x:c r="D149" s="24" t="n">
        <x:v>7</x:v>
      </x:c>
      <x:c r="E149" s="24" t="n">
        <x:v>133</x:v>
      </x:c>
      <x:c r="F149" s="25" t="n">
        <x:v>5.679632777805693</x:v>
      </x:c>
      <x:c r="G149" s="25" t="n">
        <x:v>127.94696795540894</x:v>
      </x:c>
      <x:c r="H149" s="26" t="n">
        <x:v>0.0139860139860139</x:v>
      </x:c>
      <x:c r="I149" s="26" t="n">
        <x:v>0.0483153210425937</x:v>
      </x:c>
      <x:c r="J149" s="27" t="b">
        <x:v>1</x:v>
      </x:c>
      <x:c r="K149" s="27" t="b">
        <x:v>0</x:v>
      </x:c>
      <x:c r="L149" s="24" t="b">
        <x:f>AND(J149,K149)</x:f>
        <x:v>0</x:v>
      </x:c>
      <x:c r="M149" s="29" t="b">
        <x:v>1</x:v>
      </x:c>
      <x:c r="N149" s="30" t="n">
        <x:v>1</x:v>
      </x:c>
      <x:c r="O149" s="31" t="n">
        <x:v>-0.57</x:v>
      </x:c>
      <x:c r="P149" s="31"/>
      <x:c r="Q149" s="31" t="n">
        <x:v>0.0683368847644606</x:v>
      </x:c>
      <x:c r="R149" s="31" t="n">
        <x:v>1</x:v>
      </x:c>
      <x:c r="S149" s="33" t="str">
        <x:f>IF(OR(G149="",P149=""),"",G149-P149)</x:f>
      </x:c>
      <x:c r="T149" s="33" t="str">
        <x:f>IF(S149="","",ABS(S149))</x:f>
      </x:c>
      <x:c r="U149" s="34" t="str">
        <x:f>IF(M149=FALSE,"Not analysed in paper",IF(K149=N149,"Significance agrees",IF(K149=TRUE,"User only","Paper only")))</x:f>
        <x:v>Paper only</x:v>
      </x:c>
      <x:c r="V149" s="34" t="str">
        <x:f>IF(M149=FALSE,"Not analysed in paper",IF(L149=FALSE,"User not reliable/significant",IF(N149=FALSE,"Paper not significant",IF(P149="","Exact paper latency unavailable",IF(T149&lt;=10,"Close (&lt;=10 ms)",IF(T149&lt;=20,"Similar (10-20 ms)","Different (&gt;20 ms)"))))))</x:f>
        <x:v>User not reliable/significant</x:v>
      </x:c>
      <x:c r="W149" s="37" t="b">
        <x:v>0</x:v>
      </x:c>
      <x:c r="X149" s="38"/>
      <x:c r="Y149" s="38"/>
      <x:c r="Z149" s="39"/>
      <x:c r="AA149" s="39" t="str">
        <x:f>IF(W149=FALSE,"Not explicitly reported in PDF",IF(AND(G149&gt;=X149,G149&lt;=Y149),"Within PDF value/range",IF(MIN(ABS(G149-X149),ABS(G149-Y149))&lt;=15,"Within 15 ms of PDF","Different from PDF")))</x:f>
        <x:v>Not explicitly reported in PDF</x:v>
      </x:c>
    </x:row>
    <x:row r="150">
      <x:c r="A150" s="20" t="str">
        <x:v>AUDp</x:v>
      </x:c>
      <x:c r="B150" s="20" t="str">
        <x:v>Primary auditory area</x:v>
      </x:c>
      <x:c r="C150" s="20" t="str">
        <x:v>Isocortex</x:v>
      </x:c>
      <x:c r="D150" s="24" t="n">
        <x:v>7</x:v>
      </x:c>
      <x:c r="E150" s="24" t="n">
        <x:v>167</x:v>
      </x:c>
      <x:c r="F150" s="25" t="n">
        <x:v>1.1158147490185213</x:v>
      </x:c>
      <x:c r="G150" s="25" t="n">
        <x:v>22.55822426596518</x:v>
      </x:c>
      <x:c r="H150" s="26" t="n">
        <x:v>0.3886113886113886</x:v>
      </x:c>
      <x:c r="I150" s="26" t="n">
        <x:v>0.538282230589923</x:v>
      </x:c>
      <x:c r="J150" s="27" t="b">
        <x:v>1</x:v>
      </x:c>
      <x:c r="K150" s="27" t="b">
        <x:v>0</x:v>
      </x:c>
      <x:c r="L150" s="24" t="b">
        <x:f>AND(J150,K150)</x:f>
        <x:v>0</x:v>
      </x:c>
      <x:c r="M150" s="29" t="b">
        <x:v>1</x:v>
      </x:c>
      <x:c r="N150" s="30" t="n">
        <x:v>0</x:v>
      </x:c>
      <x:c r="O150" s="31" t="n">
        <x:v>-0.96</x:v>
      </x:c>
      <x:c r="P150" s="31" t="n">
        <x:v>12.7659574468085</x:v>
      </x:c>
      <x:c r="Q150" s="31" t="n">
        <x:v>0.1239918249826265</x:v>
      </x:c>
      <x:c r="R150" s="31" t="n">
        <x:v>0</x:v>
      </x:c>
      <x:c r="S150" s="33" t="n">
        <x:f>IF(OR(G150="",P150=""),"",G150-P150)</x:f>
        <x:v>9.79226681915668</x:v>
      </x:c>
      <x:c r="T150" s="33" t="n">
        <x:f>IF(S150="","",ABS(S150))</x:f>
        <x:v>9.79226681915668</x:v>
      </x:c>
      <x:c r="U150" s="34" t="str">
        <x:f>IF(M150=FALSE,"Not analysed in paper",IF(K150=N150,"Significance agrees",IF(K150=TRUE,"User only","Paper only")))</x:f>
        <x:v>Significance agrees</x:v>
      </x:c>
      <x:c r="V150" s="34" t="str">
        <x:f>IF(M150=FALSE,"Not analysed in paper",IF(L150=FALSE,"User not reliable/significant",IF(N150=FALSE,"Paper not significant",IF(P150="","Exact paper latency unavailable",IF(T150&lt;=10,"Close (&lt;=10 ms)",IF(T150&lt;=20,"Similar (10-20 ms)","Different (&gt;20 ms)"))))))</x:f>
        <x:v>User not reliable/significant</x:v>
      </x:c>
      <x:c r="W150" s="37" t="b">
        <x:v>0</x:v>
      </x:c>
      <x:c r="X150" s="38"/>
      <x:c r="Y150" s="38"/>
      <x:c r="Z150" s="39"/>
      <x:c r="AA150" s="39" t="str">
        <x:f>IF(W150=FALSE,"Not explicitly reported in PDF",IF(AND(G150&gt;=X150,G150&lt;=Y150),"Within PDF value/range",IF(MIN(ABS(G150-X150),ABS(G150-Y150))&lt;=15,"Within 15 ms of PDF","Different from PDF")))</x:f>
        <x:v>Not explicitly reported in PDF</x:v>
      </x:c>
    </x:row>
    <x:row r="151">
      <x:c r="A151" s="20" t="str">
        <x:v>AUDpo</x:v>
      </x:c>
      <x:c r="B151" s="20" t="str">
        <x:v>Posterior auditory area</x:v>
      </x:c>
      <x:c r="C151" s="20" t="str">
        <x:v>Isocortex</x:v>
      </x:c>
      <x:c r="D151" s="24" t="n">
        <x:v>6</x:v>
      </x:c>
      <x:c r="E151" s="24" t="n">
        <x:v>46</x:v>
      </x:c>
      <x:c r="F151" s="25" t="n">
        <x:v>1.7210903586802078</x:v>
      </x:c>
      <x:c r="G151" s="25" t="n">
        <x:v>31.91949155534756</x:v>
      </x:c>
      <x:c r="H151" s="26" t="n">
        <x:v>0.4875124875124875</x:v>
      </x:c>
      <x:c r="I151" s="26" t="n">
        <x:v>0.6325771789186423</x:v>
      </x:c>
      <x:c r="J151" s="27" t="b">
        <x:v>1</x:v>
      </x:c>
      <x:c r="K151" s="27" t="b">
        <x:v>0</x:v>
      </x:c>
      <x:c r="L151" s="24" t="b">
        <x:f>AND(J151,K151)</x:f>
        <x:v>0</x:v>
      </x:c>
      <x:c r="M151" s="29" t="b">
        <x:v>1</x:v>
      </x:c>
      <x:c r="N151" s="30" t="n">
        <x:v>0</x:v>
      </x:c>
      <x:c r="O151" s="31" t="n">
        <x:v>-0.8</x:v>
      </x:c>
      <x:c r="P151" s="31" t="n">
        <x:v>78.7234042553191</x:v>
      </x:c>
      <x:c r="Q151" s="31" t="n">
        <x:v>0.224817519142135</x:v>
      </x:c>
      <x:c r="R151" s="31" t="n">
        <x:v>0</x:v>
      </x:c>
      <x:c r="S151" s="33" t="n">
        <x:f>IF(OR(G151="",P151=""),"",G151-P151)</x:f>
        <x:v>-46.803912699971534</x:v>
      </x:c>
      <x:c r="T151" s="33" t="n">
        <x:f>IF(S151="","",ABS(S151))</x:f>
        <x:v>46.803912699971534</x:v>
      </x:c>
      <x:c r="U151" s="34" t="str">
        <x:f>IF(M151=FALSE,"Not analysed in paper",IF(K151=N151,"Significance agrees",IF(K151=TRUE,"User only","Paper only")))</x:f>
        <x:v>Significance agrees</x:v>
      </x:c>
      <x:c r="V151" s="34" t="str">
        <x:f>IF(M151=FALSE,"Not analysed in paper",IF(L151=FALSE,"User not reliable/significant",IF(N151=FALSE,"Paper not significant",IF(P151="","Exact paper latency unavailable",IF(T151&lt;=10,"Close (&lt;=10 ms)",IF(T151&lt;=20,"Similar (10-20 ms)","Different (&gt;20 ms)"))))))</x:f>
        <x:v>User not reliable/significant</x:v>
      </x:c>
      <x:c r="W151" s="37" t="b">
        <x:v>0</x:v>
      </x:c>
      <x:c r="X151" s="38"/>
      <x:c r="Y151" s="38"/>
      <x:c r="Z151" s="39"/>
      <x:c r="AA151" s="39" t="str">
        <x:f>IF(W151=FALSE,"Not explicitly reported in PDF",IF(AND(G151&gt;=X151,G151&lt;=Y151),"Within PDF value/range",IF(MIN(ABS(G151-X151),ABS(G151-Y151))&lt;=15,"Within 15 ms of PDF","Different from PDF")))</x:f>
        <x:v>Not explicitly reported in PDF</x:v>
      </x:c>
    </x:row>
    <x:row r="152">
      <x:c r="A152" s="20" t="str">
        <x:v>AUDv</x:v>
      </x:c>
      <x:c r="B152" s="20" t="str">
        <x:v>Ventral auditory area</x:v>
      </x:c>
      <x:c r="C152" s="20" t="str">
        <x:v>Isocortex</x:v>
      </x:c>
      <x:c r="D152" s="24" t="n">
        <x:v>9</x:v>
      </x:c>
      <x:c r="E152" s="24" t="n">
        <x:v>253</x:v>
      </x:c>
      <x:c r="F152" s="25" t="n">
        <x:v>1.9101253455816924</x:v>
      </x:c>
      <x:c r="G152" s="25" t="n">
        <x:v>101.3551619872142</x:v>
      </x:c>
      <x:c r="H152" s="26" t="n">
        <x:v>0.0049950049950049</x:v>
      </x:c>
      <x:c r="I152" s="26" t="n">
        <x:v>0.0229081263564022</x:v>
      </x:c>
      <x:c r="J152" s="27" t="b">
        <x:v>1</x:v>
      </x:c>
      <x:c r="K152" s="27" t="b">
        <x:v>0</x:v>
      </x:c>
      <x:c r="L152" s="24" t="b">
        <x:f>AND(J152,K152)</x:f>
        <x:v>0</x:v>
      </x:c>
      <x:c r="M152" s="29" t="b">
        <x:v>1</x:v>
      </x:c>
      <x:c r="N152" s="30" t="n">
        <x:v>1</x:v>
      </x:c>
      <x:c r="O152" s="31" t="n">
        <x:v>-0.83</x:v>
      </x:c>
      <x:c r="P152" s="31" t="n">
        <x:v>91.4893617021276</x:v>
      </x:c>
      <x:c r="Q152" s="31" t="n">
        <x:v>0.1571520781147521</x:v>
      </x:c>
      <x:c r="R152" s="31" t="n">
        <x:v>1</x:v>
      </x:c>
      <x:c r="S152" s="33" t="n">
        <x:f>IF(OR(G152="",P152=""),"",G152-P152)</x:f>
        <x:v>9.865800285086607</x:v>
      </x:c>
      <x:c r="T152" s="33" t="n">
        <x:f>IF(S152="","",ABS(S152))</x:f>
        <x:v>9.865800285086607</x:v>
      </x:c>
      <x:c r="U152" s="34" t="str">
        <x:f>IF(M152=FALSE,"Not analysed in paper",IF(K152=N152,"Significance agrees",IF(K152=TRUE,"User only","Paper only")))</x:f>
        <x:v>Paper only</x:v>
      </x:c>
      <x:c r="V152" s="34" t="str">
        <x:f>IF(M152=FALSE,"Not analysed in paper",IF(L152=FALSE,"User not reliable/significant",IF(N152=FALSE,"Paper not significant",IF(P152="","Exact paper latency unavailable",IF(T152&lt;=10,"Close (&lt;=10 ms)",IF(T152&lt;=20,"Similar (10-20 ms)","Different (&gt;20 ms)"))))))</x:f>
        <x:v>User not reliable/significant</x:v>
      </x:c>
      <x:c r="W152" s="37" t="b">
        <x:v>0</x:v>
      </x:c>
      <x:c r="X152" s="38"/>
      <x:c r="Y152" s="38"/>
      <x:c r="Z152" s="39"/>
      <x:c r="AA152" s="39" t="str">
        <x:f>IF(W152=FALSE,"Not explicitly reported in PDF",IF(AND(G152&gt;=X152,G152&lt;=Y152),"Within PDF value/range",IF(MIN(ABS(G152-X152),ABS(G152-Y152))&lt;=15,"Within 15 ms of PDF","Different from PDF")))</x:f>
        <x:v>Not explicitly reported in PDF</x:v>
      </x:c>
    </x:row>
    <x:row r="153">
      <x:c r="A153" s="20" t="str">
        <x:v>ECT</x:v>
      </x:c>
      <x:c r="B153" s="20" t="str">
        <x:v>Ectorhinal area</x:v>
      </x:c>
      <x:c r="C153" s="20" t="str">
        <x:v>Isocortex</x:v>
      </x:c>
      <x:c r="D153" s="24" t="n">
        <x:v>8</x:v>
      </x:c>
      <x:c r="E153" s="24" t="n">
        <x:v>85</x:v>
      </x:c>
      <x:c r="F153" s="25" t="n">
        <x:v>0.8931305571637023</x:v>
      </x:c>
      <x:c r="G153" s="25" t="n">
        <x:v>80.9055039783629</x:v>
      </x:c>
      <x:c r="H153" s="26" t="n">
        <x:v>0.1748251748251748</x:v>
      </x:c>
      <x:c r="I153" s="26" t="n">
        <x:v>0.3121040033791711</x:v>
      </x:c>
      <x:c r="J153" s="27" t="b">
        <x:v>1</x:v>
      </x:c>
      <x:c r="K153" s="27" t="b">
        <x:v>0</x:v>
      </x:c>
      <x:c r="L153" s="24" t="b">
        <x:f>AND(J153,K153)</x:f>
        <x:v>0</x:v>
      </x:c>
      <x:c r="M153" s="29" t="b">
        <x:v>1</x:v>
      </x:c>
      <x:c r="N153" s="30" t="n">
        <x:v>0</x:v>
      </x:c>
      <x:c r="O153" s="31" t="n">
        <x:v>-0.96</x:v>
      </x:c>
      <x:c r="P153" s="31" t="n">
        <x:v>36.1702127659574</x:v>
      </x:c>
      <x:c r="Q153" s="31" t="n">
        <x:v>0.0741273636032703</x:v>
      </x:c>
      <x:c r="R153" s="31" t="n">
        <x:v>0</x:v>
      </x:c>
      <x:c r="S153" s="33" t="n">
        <x:f>IF(OR(G153="",P153=""),"",G153-P153)</x:f>
        <x:v>44.7352912124055</x:v>
      </x:c>
      <x:c r="T153" s="33" t="n">
        <x:f>IF(S153="","",ABS(S153))</x:f>
        <x:v>44.7352912124055</x:v>
      </x:c>
      <x:c r="U153" s="34" t="str">
        <x:f>IF(M153=FALSE,"Not analysed in paper",IF(K153=N153,"Significance agrees",IF(K153=TRUE,"User only","Paper only")))</x:f>
        <x:v>Significance agrees</x:v>
      </x:c>
      <x:c r="V153" s="34" t="str">
        <x:f>IF(M153=FALSE,"Not analysed in paper",IF(L153=FALSE,"User not reliable/significant",IF(N153=FALSE,"Paper not significant",IF(P153="","Exact paper latency unavailable",IF(T153&lt;=10,"Close (&lt;=10 ms)",IF(T153&lt;=20,"Similar (10-20 ms)","Different (&gt;20 ms)"))))))</x:f>
        <x:v>User not reliable/significant</x:v>
      </x:c>
      <x:c r="W153" s="37" t="b">
        <x:v>0</x:v>
      </x:c>
      <x:c r="X153" s="38"/>
      <x:c r="Y153" s="38"/>
      <x:c r="Z153" s="39"/>
      <x:c r="AA153" s="39" t="str">
        <x:f>IF(W153=FALSE,"Not explicitly reported in PDF",IF(AND(G153&gt;=X153,G153&lt;=Y153),"Within PDF value/range",IF(MIN(ABS(G153-X153),ABS(G153-Y153))&lt;=15,"Within 15 ms of PDF","Different from PDF")))</x:f>
        <x:v>Not explicitly reported in PDF</x:v>
      </x:c>
    </x:row>
    <x:row r="154">
      <x:c r="A154" s="20" t="str">
        <x:v>FRP</x:v>
      </x:c>
      <x:c r="B154" s="20" t="str">
        <x:v>Frontal pole cerebral cortex</x:v>
      </x:c>
      <x:c r="C154" s="20" t="str">
        <x:v>Isocortex</x:v>
      </x:c>
      <x:c r="D154" s="24" t="n">
        <x:v>11</x:v>
      </x:c>
      <x:c r="E154" s="24" t="n">
        <x:v>88</x:v>
      </x:c>
      <x:c r="F154" s="25" t="n">
        <x:v>9.156370224215385</x:v>
      </x:c>
      <x:c r="G154" s="25" t="n">
        <x:v>118.2498467367648</x:v>
      </x:c>
      <x:c r="H154" s="26" t="n">
        <x:v>0.0009990009990009</x:v>
      </x:c>
      <x:c r="I154" s="26" t="n">
        <x:v>0.0066433566433566</x:v>
      </x:c>
      <x:c r="J154" s="27" t="b">
        <x:v>1</x:v>
      </x:c>
      <x:c r="K154" s="27" t="b">
        <x:v>1</x:v>
      </x:c>
      <x:c r="L154" s="24" t="b">
        <x:f>AND(J154,K154)</x:f>
        <x:v>1</x:v>
      </x:c>
      <x:c r="M154" s="29" t="b">
        <x:v>1</x:v>
      </x:c>
      <x:c r="N154" s="30" t="n">
        <x:v>1</x:v>
      </x:c>
      <x:c r="O154" s="31" t="n">
        <x:v>-0.22</x:v>
      </x:c>
      <x:c r="P154" s="31" t="n">
        <x:v>91.4893617021276</x:v>
      </x:c>
      <x:c r="Q154" s="31" t="n">
        <x:v>0.2541554545804025</x:v>
      </x:c>
      <x:c r="R154" s="31" t="n">
        <x:v>1</x:v>
      </x:c>
      <x:c r="S154" s="33" t="n">
        <x:f>IF(OR(G154="",P154=""),"",G154-P154)</x:f>
        <x:v>26.7604850346372</x:v>
      </x:c>
      <x:c r="T154" s="33" t="n">
        <x:f>IF(S154="","",ABS(S154))</x:f>
        <x:v>26.7604850346372</x:v>
      </x:c>
      <x:c r="U154" s="34" t="str">
        <x:f>IF(M154=FALSE,"Not analysed in paper",IF(K154=N154,"Significance agrees",IF(K154=TRUE,"User only","Paper only")))</x:f>
        <x:v>Significance agrees</x:v>
      </x:c>
      <x:c r="V154" s="34" t="str">
        <x:f>IF(M154=FALSE,"Not analysed in paper",IF(L154=FALSE,"User not reliable/significant",IF(N154=FALSE,"Paper not significant",IF(P154="","Exact paper latency unavailable",IF(T154&lt;=10,"Close (&lt;=10 ms)",IF(T154&lt;=20,"Similar (10-20 ms)","Different (&gt;20 ms)"))))))</x:f>
        <x:v>Different (&gt;20 ms)</x:v>
      </x:c>
      <x:c r="W154" s="37" t="b">
        <x:v>0</x:v>
      </x:c>
      <x:c r="X154" s="38"/>
      <x:c r="Y154" s="38"/>
      <x:c r="Z154" s="39"/>
      <x:c r="AA154" s="39" t="str">
        <x:f>IF(W154=FALSE,"Not explicitly reported in PDF",IF(AND(G154&gt;=X154,G154&lt;=Y154),"Within PDF value/range",IF(MIN(ABS(G154-X154),ABS(G154-Y154))&lt;=15,"Within 15 ms of PDF","Different from PDF")))</x:f>
        <x:v>Not explicitly reported in PDF</x:v>
      </x:c>
    </x:row>
    <x:row r="155">
      <x:c r="A155" s="20" t="str">
        <x:v>GU</x:v>
      </x:c>
      <x:c r="B155" s="20" t="str">
        <x:v>Gustatory areas</x:v>
      </x:c>
      <x:c r="C155" s="20" t="str">
        <x:v>Isocortex</x:v>
      </x:c>
      <x:c r="D155" s="24" t="n">
        <x:v>4</x:v>
      </x:c>
      <x:c r="E155" s="24" t="n">
        <x:v>69</x:v>
      </x:c>
      <x:c r="F155" s="25" t="n">
        <x:v>1.6978131497173172</x:v>
      </x:c>
      <x:c r="G155" s="25" t="n">
        <x:v>54.66888787756518</x:v>
      </x:c>
      <x:c r="H155" s="26" t="n">
        <x:v>0.7872127872127872</x:v>
      </x:c>
      <x:c r="I155" s="26" t="n">
        <x:v>0.8592800641980969</x:v>
      </x:c>
      <x:c r="J155" s="27" t="b">
        <x:v>1</x:v>
      </x:c>
      <x:c r="K155" s="27" t="b">
        <x:v>0</x:v>
      </x:c>
      <x:c r="L155" s="24" t="b">
        <x:f>AND(J155,K155)</x:f>
        <x:v>0</x:v>
      </x:c>
      <x:c r="M155" s="29" t="b">
        <x:v>1</x:v>
      </x:c>
      <x:c r="N155" s="30" t="n">
        <x:v>0</x:v>
      </x:c>
      <x:c r="O155" s="31" t="n">
        <x:v>-0.78</x:v>
      </x:c>
      <x:c r="P155" s="31"/>
      <x:c r="Q155" s="31"/>
      <x:c r="R155" s="31"/>
      <x:c r="S155" s="33" t="str">
        <x:f>IF(OR(G155="",P155=""),"",G155-P155)</x:f>
      </x:c>
      <x:c r="T155" s="33" t="str">
        <x:f>IF(S155="","",ABS(S155))</x:f>
      </x:c>
      <x:c r="U155" s="34" t="str">
        <x:f>IF(M155=FALSE,"Not analysed in paper",IF(K155=N155,"Significance agrees",IF(K155=TRUE,"User only","Paper only")))</x:f>
        <x:v>Significance agrees</x:v>
      </x:c>
      <x:c r="V155" s="34" t="str">
        <x:f>IF(M155=FALSE,"Not analysed in paper",IF(L155=FALSE,"User not reliable/significant",IF(N155=FALSE,"Paper not significant",IF(P155="","Exact paper latency unavailable",IF(T155&lt;=10,"Close (&lt;=10 ms)",IF(T155&lt;=20,"Similar (10-20 ms)","Different (&gt;20 ms)"))))))</x:f>
        <x:v>User not reliable/significant</x:v>
      </x:c>
      <x:c r="W155" s="37" t="b">
        <x:v>0</x:v>
      </x:c>
      <x:c r="X155" s="38"/>
      <x:c r="Y155" s="38"/>
      <x:c r="Z155" s="39"/>
      <x:c r="AA155" s="39" t="str">
        <x:f>IF(W155=FALSE,"Not explicitly reported in PDF",IF(AND(G155&gt;=X155,G155&lt;=Y155),"Within PDF value/range",IF(MIN(ABS(G155-X155),ABS(G155-Y155))&lt;=15,"Within 15 ms of PDF","Different from PDF")))</x:f>
        <x:v>Not explicitly reported in PDF</x:v>
      </x:c>
    </x:row>
    <x:row r="156">
      <x:c r="A156" s="20" t="str">
        <x:v>ILA</x:v>
      </x:c>
      <x:c r="B156" s="20" t="str">
        <x:v>Infralimbic area</x:v>
      </x:c>
      <x:c r="C156" s="20" t="str">
        <x:v>Isocortex</x:v>
      </x:c>
      <x:c r="D156" s="24" t="n">
        <x:v>11</x:v>
      </x:c>
      <x:c r="E156" s="24" t="n">
        <x:v>314</x:v>
      </x:c>
      <x:c r="F156" s="25" t="n">
        <x:v>0.6345781229625247</x:v>
      </x:c>
      <x:c r="G156" s="25" t="n">
        <x:v>136.2826738567202</x:v>
      </x:c>
      <x:c r="H156" s="26" t="n">
        <x:v>0.929070929070929</x:v>
      </x:c>
      <x:c r="I156" s="26" t="n">
        <x:v>0.9616064868983156</x:v>
      </x:c>
      <x:c r="J156" s="27" t="b">
        <x:v>1</x:v>
      </x:c>
      <x:c r="K156" s="27" t="b">
        <x:v>0</x:v>
      </x:c>
      <x:c r="L156" s="24" t="b">
        <x:f>AND(J156,K156)</x:f>
        <x:v>0</x:v>
      </x:c>
      <x:c r="M156" s="29" t="b">
        <x:v>1</x:v>
      </x:c>
      <x:c r="N156" s="30" t="n">
        <x:v>0</x:v>
      </x:c>
      <x:c r="O156" s="31" t="n">
        <x:v>-1.25</x:v>
      </x:c>
      <x:c r="P156" s="31" t="n">
        <x:v>76.595744680851</x:v>
      </x:c>
      <x:c r="Q156" s="31" t="n">
        <x:v>0.0502753952037443</x:v>
      </x:c>
      <x:c r="R156" s="31" t="n">
        <x:v>0</x:v>
      </x:c>
      <x:c r="S156" s="33" t="n">
        <x:f>IF(OR(G156="",P156=""),"",G156-P156)</x:f>
        <x:v>59.68692917586921</x:v>
      </x:c>
      <x:c r="T156" s="33" t="n">
        <x:f>IF(S156="","",ABS(S156))</x:f>
        <x:v>59.68692917586921</x:v>
      </x:c>
      <x:c r="U156" s="34" t="str">
        <x:f>IF(M156=FALSE,"Not analysed in paper",IF(K156=N156,"Significance agrees",IF(K156=TRUE,"User only","Paper only")))</x:f>
        <x:v>Significance agrees</x:v>
      </x:c>
      <x:c r="V156" s="34" t="str">
        <x:f>IF(M156=FALSE,"Not analysed in paper",IF(L156=FALSE,"User not reliable/significant",IF(N156=FALSE,"Paper not significant",IF(P156="","Exact paper latency unavailable",IF(T156&lt;=10,"Close (&lt;=10 ms)",IF(T156&lt;=20,"Similar (10-20 ms)","Different (&gt;20 ms)"))))))</x:f>
        <x:v>User not reliable/significant</x:v>
      </x:c>
      <x:c r="W156" s="37" t="b">
        <x:v>0</x:v>
      </x:c>
      <x:c r="X156" s="38"/>
      <x:c r="Y156" s="38"/>
      <x:c r="Z156" s="39"/>
      <x:c r="AA156" s="39" t="str">
        <x:f>IF(W156=FALSE,"Not explicitly reported in PDF",IF(AND(G156&gt;=X156,G156&lt;=Y156),"Within PDF value/range",IF(MIN(ABS(G156-X156),ABS(G156-Y156))&lt;=15,"Within 15 ms of PDF","Different from PDF")))</x:f>
        <x:v>Not explicitly reported in PDF</x:v>
      </x:c>
    </x:row>
    <x:row r="157">
      <x:c r="A157" s="20" t="str">
        <x:v>MOp</x:v>
      </x:c>
      <x:c r="B157" s="20" t="str">
        <x:v>Primary motor area</x:v>
      </x:c>
      <x:c r="C157" s="20" t="str">
        <x:v>Isocortex</x:v>
      </x:c>
      <x:c r="D157" s="24" t="n">
        <x:v>36</x:v>
      </x:c>
      <x:c r="E157" s="24" t="n">
        <x:v>1458</x:v>
      </x:c>
      <x:c r="F157" s="25" t="n">
        <x:v>2.628631332958979</x:v>
      </x:c>
      <x:c r="G157" s="25" t="n">
        <x:v>129.6032309470296</x:v>
      </x:c>
      <x:c r="H157" s="26" t="n">
        <x:v>0.1798201798201798</x:v>
      </x:c>
      <x:c r="I157" s="26" t="n">
        <x:v>0.3146853146853146</x:v>
      </x:c>
      <x:c r="J157" s="27" t="b">
        <x:v>1</x:v>
      </x:c>
      <x:c r="K157" s="27" t="b">
        <x:v>0</x:v>
      </x:c>
      <x:c r="L157" s="24" t="b">
        <x:f>AND(J157,K157)</x:f>
        <x:v>0</x:v>
      </x:c>
      <x:c r="M157" s="29" t="b">
        <x:v>1</x:v>
      </x:c>
      <x:c r="N157" s="30" t="n">
        <x:v>1</x:v>
      </x:c>
      <x:c r="O157" s="31" t="n">
        <x:v>-0.98</x:v>
      </x:c>
      <x:c r="P157" s="31" t="n">
        <x:v>95.7446808510638</x:v>
      </x:c>
      <x:c r="Q157" s="31" t="n">
        <x:v>0.0871247928393143</x:v>
      </x:c>
      <x:c r="R157" s="31" t="n">
        <x:v>1</x:v>
      </x:c>
      <x:c r="S157" s="33" t="n">
        <x:f>IF(OR(G157="",P157=""),"",G157-P157)</x:f>
        <x:v>33.858550095965796</x:v>
      </x:c>
      <x:c r="T157" s="33" t="n">
        <x:f>IF(S157="","",ABS(S157))</x:f>
        <x:v>33.858550095965796</x:v>
      </x:c>
      <x:c r="U157" s="34" t="str">
        <x:f>IF(M157=FALSE,"Not analysed in paper",IF(K157=N157,"Significance agrees",IF(K157=TRUE,"User only","Paper only")))</x:f>
        <x:v>Paper only</x:v>
      </x:c>
      <x:c r="V157" s="34" t="str">
        <x:f>IF(M157=FALSE,"Not analysed in paper",IF(L157=FALSE,"User not reliable/significant",IF(N157=FALSE,"Paper not significant",IF(P157="","Exact paper latency unavailable",IF(T157&lt;=10,"Close (&lt;=10 ms)",IF(T157&lt;=20,"Similar (10-20 ms)","Different (&gt;20 ms)"))))))</x:f>
        <x:v>User not reliable/significant</x:v>
      </x:c>
      <x:c r="W157" s="37" t="b">
        <x:v>0</x:v>
      </x:c>
      <x:c r="X157" s="38"/>
      <x:c r="Y157" s="38"/>
      <x:c r="Z157" s="39"/>
      <x:c r="AA157" s="39" t="str">
        <x:f>IF(W157=FALSE,"Not explicitly reported in PDF",IF(AND(G157&gt;=X157,G157&lt;=Y157),"Within PDF value/range",IF(MIN(ABS(G157-X157),ABS(G157-Y157))&lt;=15,"Within 15 ms of PDF","Different from PDF")))</x:f>
        <x:v>Not explicitly reported in PDF</x:v>
      </x:c>
    </x:row>
    <x:row r="158">
      <x:c r="A158" s="20" t="str">
        <x:v>MOs</x:v>
      </x:c>
      <x:c r="B158" s="20" t="str">
        <x:v>Secondary motor area</x:v>
      </x:c>
      <x:c r="C158" s="20" t="str">
        <x:v>Isocortex</x:v>
      </x:c>
      <x:c r="D158" s="24" t="n">
        <x:v>49</x:v>
      </x:c>
      <x:c r="E158" s="24" t="n">
        <x:v>1293</x:v>
      </x:c>
      <x:c r="F158" s="25" t="n">
        <x:v>4.434066602055901</x:v>
      </x:c>
      <x:c r="G158" s="25" t="n">
        <x:v>123.4587897113985</x:v>
      </x:c>
      <x:c r="H158" s="26" t="n">
        <x:v>0.0009990009990009</x:v>
      </x:c>
      <x:c r="I158" s="26" t="n">
        <x:v>0.0066433566433566</x:v>
      </x:c>
      <x:c r="J158" s="27" t="b">
        <x:v>1</x:v>
      </x:c>
      <x:c r="K158" s="27" t="b">
        <x:v>1</x:v>
      </x:c>
      <x:c r="L158" s="24" t="b">
        <x:f>AND(J158,K158)</x:f>
        <x:v>1</x:v>
      </x:c>
      <x:c r="M158" s="29" t="b">
        <x:v>1</x:v>
      </x:c>
      <x:c r="N158" s="30" t="n">
        <x:v>1</x:v>
      </x:c>
      <x:c r="O158" s="31" t="n">
        <x:v>-0.59</x:v>
      </x:c>
      <x:c r="P158" s="31" t="n">
        <x:v>89.3617021276595</x:v>
      </x:c>
      <x:c r="Q158" s="31" t="n">
        <x:v>0.2013861332729823</x:v>
      </x:c>
      <x:c r="R158" s="31" t="n">
        <x:v>1</x:v>
      </x:c>
      <x:c r="S158" s="33" t="n">
        <x:f>IF(OR(G158="",P158=""),"",G158-P158)</x:f>
        <x:v>34.097087583739</x:v>
      </x:c>
      <x:c r="T158" s="33" t="n">
        <x:f>IF(S158="","",ABS(S158))</x:f>
        <x:v>34.097087583739</x:v>
      </x:c>
      <x:c r="U158" s="34" t="str">
        <x:f>IF(M158=FALSE,"Not analysed in paper",IF(K158=N158,"Significance agrees",IF(K158=TRUE,"User only","Paper only")))</x:f>
        <x:v>Significance agrees</x:v>
      </x:c>
      <x:c r="V158" s="34" t="str">
        <x:f>IF(M158=FALSE,"Not analysed in paper",IF(L158=FALSE,"User not reliable/significant",IF(N158=FALSE,"Paper not significant",IF(P158="","Exact paper latency unavailable",IF(T158&lt;=10,"Close (&lt;=10 ms)",IF(T158&lt;=20,"Similar (10-20 ms)","Different (&gt;20 ms)"))))))</x:f>
        <x:v>Different (&gt;20 ms)</x:v>
      </x:c>
      <x:c r="W158" s="37" t="b">
        <x:v>0</x:v>
      </x:c>
      <x:c r="X158" s="38"/>
      <x:c r="Y158" s="38"/>
      <x:c r="Z158" s="39"/>
      <x:c r="AA158" s="39" t="str">
        <x:f>IF(W158=FALSE,"Not explicitly reported in PDF",IF(AND(G158&gt;=X158,G158&lt;=Y158),"Within PDF value/range",IF(MIN(ABS(G158-X158),ABS(G158-Y158))&lt;=15,"Within 15 ms of PDF","Different from PDF")))</x:f>
        <x:v>Not explicitly reported in PDF</x:v>
      </x:c>
    </x:row>
    <x:row r="159">
      <x:c r="A159" s="20" t="str">
        <x:v>ORBl</x:v>
      </x:c>
      <x:c r="B159" s="20" t="str">
        <x:v>Orbital area lateral part</x:v>
      </x:c>
      <x:c r="C159" s="20" t="str">
        <x:v>Isocortex</x:v>
      </x:c>
      <x:c r="D159" s="24" t="n">
        <x:v>8</x:v>
      </x:c>
      <x:c r="E159" s="24" t="n">
        <x:v>199</x:v>
      </x:c>
      <x:c r="F159" s="25" t="n">
        <x:v>3.4030627924211396</x:v>
      </x:c>
      <x:c r="G159" s="25" t="n">
        <x:v>128.64019720925745</x:v>
      </x:c>
      <x:c r="H159" s="26" t="n">
        <x:v>0.0059940059940059</x:v>
      </x:c>
      <x:c r="I159" s="26" t="n">
        <x:v>0.0257162192646063</x:v>
      </x:c>
      <x:c r="J159" s="27" t="b">
        <x:v>1</x:v>
      </x:c>
      <x:c r="K159" s="27" t="b">
        <x:v>0</x:v>
      </x:c>
      <x:c r="L159" s="24" t="b">
        <x:f>AND(J159,K159)</x:f>
        <x:v>0</x:v>
      </x:c>
      <x:c r="M159" s="29" t="b">
        <x:v>1</x:v>
      </x:c>
      <x:c r="N159" s="30" t="n">
        <x:v>0</x:v>
      </x:c>
      <x:c r="O159" s="31" t="n">
        <x:v>-0.83</x:v>
      </x:c>
      <x:c r="P159" s="31" t="n">
        <x:v>95.7446808510638</x:v>
      </x:c>
      <x:c r="Q159" s="31" t="n">
        <x:v>0.1250645944529908</x:v>
      </x:c>
      <x:c r="R159" s="31" t="n">
        <x:v>1</x:v>
      </x:c>
      <x:c r="S159" s="33" t="n">
        <x:f>IF(OR(G159="",P159=""),"",G159-P159)</x:f>
        <x:v>32.895516358193646</x:v>
      </x:c>
      <x:c r="T159" s="33" t="n">
        <x:f>IF(S159="","",ABS(S159))</x:f>
        <x:v>32.895516358193646</x:v>
      </x:c>
      <x:c r="U159" s="34" t="str">
        <x:f>IF(M159=FALSE,"Not analysed in paper",IF(K159=N159,"Significance agrees",IF(K159=TRUE,"User only","Paper only")))</x:f>
        <x:v>Significance agrees</x:v>
      </x:c>
      <x:c r="V159" s="34" t="str">
        <x:f>IF(M159=FALSE,"Not analysed in paper",IF(L159=FALSE,"User not reliable/significant",IF(N159=FALSE,"Paper not significant",IF(P159="","Exact paper latency unavailable",IF(T159&lt;=10,"Close (&lt;=10 ms)",IF(T159&lt;=20,"Similar (10-20 ms)","Different (&gt;20 ms)"))))))</x:f>
        <x:v>User not reliable/significant</x:v>
      </x:c>
      <x:c r="W159" s="37" t="b">
        <x:v>0</x:v>
      </x:c>
      <x:c r="X159" s="38"/>
      <x:c r="Y159" s="38"/>
      <x:c r="Z159" s="39"/>
      <x:c r="AA159" s="39" t="str">
        <x:f>IF(W159=FALSE,"Not explicitly reported in PDF",IF(AND(G159&gt;=X159,G159&lt;=Y159),"Within PDF value/range",IF(MIN(ABS(G159-X159),ABS(G159-Y159))&lt;=15,"Within 15 ms of PDF","Different from PDF")))</x:f>
        <x:v>Not explicitly reported in PDF</x:v>
      </x:c>
    </x:row>
    <x:row r="160">
      <x:c r="A160" s="20" t="str">
        <x:v>ORBm</x:v>
      </x:c>
      <x:c r="B160" s="20" t="str">
        <x:v>Orbital area medial part</x:v>
      </x:c>
      <x:c r="C160" s="20" t="str">
        <x:v>Isocortex</x:v>
      </x:c>
      <x:c r="D160" s="24" t="n">
        <x:v>9</x:v>
      </x:c>
      <x:c r="E160" s="24" t="n">
        <x:v>313</x:v>
      </x:c>
      <x:c r="F160" s="25" t="n">
        <x:v>1.6619481831426408</x:v>
      </x:c>
      <x:c r="G160" s="25" t="n">
        <x:v>106.901051568088</x:v>
      </x:c>
      <x:c r="H160" s="26" t="n">
        <x:v>0.1258741258741259</x:v>
      </x:c>
      <x:c r="I160" s="26" t="n">
        <x:v>0.2408814207375358</x:v>
      </x:c>
      <x:c r="J160" s="27" t="b">
        <x:v>1</x:v>
      </x:c>
      <x:c r="K160" s="27" t="b">
        <x:v>0</x:v>
      </x:c>
      <x:c r="L160" s="24" t="b">
        <x:f>AND(J160,K160)</x:f>
        <x:v>0</x:v>
      </x:c>
      <x:c r="M160" s="29" t="b">
        <x:v>1</x:v>
      </x:c>
      <x:c r="N160" s="30" t="n">
        <x:v>1</x:v>
      </x:c>
      <x:c r="O160" s="31" t="n">
        <x:v>-0.83</x:v>
      </x:c>
      <x:c r="P160" s="31" t="n">
        <x:v>82.9787234042553</x:v>
      </x:c>
      <x:c r="Q160" s="31" t="n">
        <x:v>0.1441726872853942</x:v>
      </x:c>
      <x:c r="R160" s="31" t="n">
        <x:v>1</x:v>
      </x:c>
      <x:c r="S160" s="33" t="n">
        <x:f>IF(OR(G160="",P160=""),"",G160-P160)</x:f>
        <x:v>23.922328163832688</x:v>
      </x:c>
      <x:c r="T160" s="33" t="n">
        <x:f>IF(S160="","",ABS(S160))</x:f>
        <x:v>23.922328163832688</x:v>
      </x:c>
      <x:c r="U160" s="34" t="str">
        <x:f>IF(M160=FALSE,"Not analysed in paper",IF(K160=N160,"Significance agrees",IF(K160=TRUE,"User only","Paper only")))</x:f>
        <x:v>Paper only</x:v>
      </x:c>
      <x:c r="V160" s="34" t="str">
        <x:f>IF(M160=FALSE,"Not analysed in paper",IF(L160=FALSE,"User not reliable/significant",IF(N160=FALSE,"Paper not significant",IF(P160="","Exact paper latency unavailable",IF(T160&lt;=10,"Close (&lt;=10 ms)",IF(T160&lt;=20,"Similar (10-20 ms)","Different (&gt;20 ms)"))))))</x:f>
        <x:v>User not reliable/significant</x:v>
      </x:c>
      <x:c r="W160" s="37" t="b">
        <x:v>0</x:v>
      </x:c>
      <x:c r="X160" s="38"/>
      <x:c r="Y160" s="38"/>
      <x:c r="Z160" s="39"/>
      <x:c r="AA160" s="39" t="str">
        <x:f>IF(W160=FALSE,"Not explicitly reported in PDF",IF(AND(G160&gt;=X160,G160&lt;=Y160),"Within PDF value/range",IF(MIN(ABS(G160-X160),ABS(G160-Y160))&lt;=15,"Within 15 ms of PDF","Different from PDF")))</x:f>
        <x:v>Not explicitly reported in PDF</x:v>
      </x:c>
    </x:row>
    <x:row r="161">
      <x:c r="A161" s="20" t="str">
        <x:v>ORBvl</x:v>
      </x:c>
      <x:c r="B161" s="20" t="str">
        <x:v>Orbital area ventrolateral part</x:v>
      </x:c>
      <x:c r="C161" s="20" t="str">
        <x:v>Isocortex</x:v>
      </x:c>
      <x:c r="D161" s="24" t="n">
        <x:v>9</x:v>
      </x:c>
      <x:c r="E161" s="24" t="n">
        <x:v>669</x:v>
      </x:c>
      <x:c r="F161" s="25" t="n">
        <x:v>3.940813524257923</x:v>
      </x:c>
      <x:c r="G161" s="25" t="n">
        <x:v>106.31975063834186</x:v>
      </x:c>
      <x:c r="H161" s="26" t="n">
        <x:v>0.0009990009990009</x:v>
      </x:c>
      <x:c r="I161" s="26" t="n">
        <x:v>0.0066433566433566</x:v>
      </x:c>
      <x:c r="J161" s="27" t="b">
        <x:v>1</x:v>
      </x:c>
      <x:c r="K161" s="27" t="b">
        <x:v>1</x:v>
      </x:c>
      <x:c r="L161" s="24" t="b">
        <x:f>AND(J161,K161)</x:f>
        <x:v>1</x:v>
      </x:c>
      <x:c r="M161" s="29" t="b">
        <x:v>1</x:v>
      </x:c>
      <x:c r="N161" s="30" t="n">
        <x:v>1</x:v>
      </x:c>
      <x:c r="O161" s="31" t="n">
        <x:v>-0.5</x:v>
      </x:c>
      <x:c r="P161" s="31" t="n">
        <x:v>89.3617021276595</x:v>
      </x:c>
      <x:c r="Q161" s="31" t="n">
        <x:v>0.1540050946450318</x:v>
      </x:c>
      <x:c r="R161" s="31" t="n">
        <x:v>1</x:v>
      </x:c>
      <x:c r="S161" s="33" t="n">
        <x:f>IF(OR(G161="",P161=""),"",G161-P161)</x:f>
        <x:v>16.95804851068236</x:v>
      </x:c>
      <x:c r="T161" s="33" t="n">
        <x:f>IF(S161="","",ABS(S161))</x:f>
        <x:v>16.95804851068236</x:v>
      </x:c>
      <x:c r="U161" s="34" t="str">
        <x:f>IF(M161=FALSE,"Not analysed in paper",IF(K161=N161,"Significance agrees",IF(K161=TRUE,"User only","Paper only")))</x:f>
        <x:v>Significance agrees</x:v>
      </x:c>
      <x:c r="V161" s="34" t="str">
        <x:f>IF(M161=FALSE,"Not analysed in paper",IF(L161=FALSE,"User not reliable/significant",IF(N161=FALSE,"Paper not significant",IF(P161="","Exact paper latency unavailable",IF(T161&lt;=10,"Close (&lt;=10 ms)",IF(T161&lt;=20,"Similar (10-20 ms)","Different (&gt;20 ms)"))))))</x:f>
        <x:v>Similar (10-20 ms)</x:v>
      </x:c>
      <x:c r="W161" s="37" t="b">
        <x:v>0</x:v>
      </x:c>
      <x:c r="X161" s="38"/>
      <x:c r="Y161" s="38"/>
      <x:c r="Z161" s="39"/>
      <x:c r="AA161" s="39" t="str">
        <x:f>IF(W161=FALSE,"Not explicitly reported in PDF",IF(AND(G161&gt;=X161,G161&lt;=Y161),"Within PDF value/range",IF(MIN(ABS(G161-X161),ABS(G161-Y161))&lt;=15,"Within 15 ms of PDF","Different from PDF")))</x:f>
        <x:v>Not explicitly reported in PDF</x:v>
      </x:c>
    </x:row>
    <x:row r="162">
      <x:c r="A162" s="20" t="str">
        <x:v>PERI</x:v>
      </x:c>
      <x:c r="B162" s="20" t="str">
        <x:v>Perirhinal area</x:v>
      </x:c>
      <x:c r="C162" s="20" t="str">
        <x:v>Isocortex</x:v>
      </x:c>
      <x:c r="D162" s="24" t="n">
        <x:v>5</x:v>
      </x:c>
      <x:c r="E162" s="24" t="n">
        <x:v>36</x:v>
      </x:c>
      <x:c r="F162" s="25" t="n">
        <x:v>0.8908763398569941</x:v>
      </x:c>
      <x:c r="G162" s="25" t="n">
        <x:v>5</x:v>
      </x:c>
      <x:c r="H162" s="26" t="n">
        <x:v>0.6603396603396603</x:v>
      </x:c>
      <x:c r="I162" s="26" t="n">
        <x:v>0.7661429479611298</x:v>
      </x:c>
      <x:c r="J162" s="27" t="b">
        <x:v>1</x:v>
      </x:c>
      <x:c r="K162" s="27" t="b">
        <x:v>0</x:v>
      </x:c>
      <x:c r="L162" s="24" t="b">
        <x:f>AND(J162,K162)</x:f>
        <x:v>0</x:v>
      </x:c>
      <x:c r="M162" s="29" t="b">
        <x:v>0</x:v>
      </x:c>
      <x:c r="N162" s="30"/>
      <x:c r="O162" s="31"/>
      <x:c r="P162" s="31"/>
      <x:c r="Q162" s="31"/>
      <x:c r="R162" s="31"/>
      <x:c r="S162" s="33" t="str">
        <x:f>IF(OR(G162="",P162=""),"",G162-P162)</x:f>
      </x:c>
      <x:c r="T162" s="33" t="str">
        <x:f>IF(S162="","",ABS(S162))</x:f>
      </x:c>
      <x:c r="U162" s="34" t="str">
        <x:f>IF(M162=FALSE,"Not analysed in paper",IF(K162=N162,"Significance agrees",IF(K162=TRUE,"User only","Paper only")))</x:f>
        <x:v>Not analysed in paper</x:v>
      </x:c>
      <x:c r="V162" s="34" t="str">
        <x:f>IF(M162=FALSE,"Not analysed in paper",IF(L162=FALSE,"User not reliable/significant",IF(N162=FALSE,"Paper not significant",IF(P162="","Exact paper latency unavailable",IF(T162&lt;=10,"Close (&lt;=10 ms)",IF(T162&lt;=20,"Similar (10-20 ms)","Different (&gt;20 ms)"))))))</x:f>
        <x:v>Not analysed in paper</x:v>
      </x:c>
      <x:c r="W162" s="37" t="b">
        <x:v>0</x:v>
      </x:c>
      <x:c r="X162" s="38"/>
      <x:c r="Y162" s="38"/>
      <x:c r="Z162" s="39"/>
      <x:c r="AA162" s="39" t="str">
        <x:f>IF(W162=FALSE,"Not explicitly reported in PDF",IF(AND(G162&gt;=X162,G162&lt;=Y162),"Within PDF value/range",IF(MIN(ABS(G162-X162),ABS(G162-Y162))&lt;=15,"Within 15 ms of PDF","Different from PDF")))</x:f>
        <x:v>Not explicitly reported in PDF</x:v>
      </x:c>
    </x:row>
    <x:row r="163">
      <x:c r="A163" s="20" t="str">
        <x:v>PL</x:v>
      </x:c>
      <x:c r="B163" s="20" t="str">
        <x:v>Prelimbic area</x:v>
      </x:c>
      <x:c r="C163" s="20" t="str">
        <x:v>Isocortex</x:v>
      </x:c>
      <x:c r="D163" s="24" t="n">
        <x:v>20</x:v>
      </x:c>
      <x:c r="E163" s="24" t="n">
        <x:v>420</x:v>
      </x:c>
      <x:c r="F163" s="25" t="n">
        <x:v>3.1774748052790347</x:v>
      </x:c>
      <x:c r="G163" s="25" t="n">
        <x:v>118.1892998533707</x:v>
      </x:c>
      <x:c r="H163" s="26" t="n">
        <x:v>0.0059940059940059</x:v>
      </x:c>
      <x:c r="I163" s="26" t="n">
        <x:v>0.0257162192646063</x:v>
      </x:c>
      <x:c r="J163" s="27" t="b">
        <x:v>1</x:v>
      </x:c>
      <x:c r="K163" s="27" t="b">
        <x:v>0</x:v>
      </x:c>
      <x:c r="L163" s="24" t="b">
        <x:f>AND(J163,K163)</x:f>
        <x:v>0</x:v>
      </x:c>
      <x:c r="M163" s="29" t="b">
        <x:v>1</x:v>
      </x:c>
      <x:c r="N163" s="30" t="n">
        <x:v>1</x:v>
      </x:c>
      <x:c r="O163" s="31" t="n">
        <x:v>-0.66</x:v>
      </x:c>
      <x:c r="P163" s="31" t="n">
        <x:v>93.6170212765957</x:v>
      </x:c>
      <x:c r="Q163" s="31" t="n">
        <x:v>0.2348332917961067</x:v>
      </x:c>
      <x:c r="R163" s="31" t="n">
        <x:v>1</x:v>
      </x:c>
      <x:c r="S163" s="33" t="n">
        <x:f>IF(OR(G163="",P163=""),"",G163-P163)</x:f>
        <x:v>24.572278576775005</x:v>
      </x:c>
      <x:c r="T163" s="33" t="n">
        <x:f>IF(S163="","",ABS(S163))</x:f>
        <x:v>24.572278576775005</x:v>
      </x:c>
      <x:c r="U163" s="34" t="str">
        <x:f>IF(M163=FALSE,"Not analysed in paper",IF(K163=N163,"Significance agrees",IF(K163=TRUE,"User only","Paper only")))</x:f>
        <x:v>Paper only</x:v>
      </x:c>
      <x:c r="V163" s="34" t="str">
        <x:f>IF(M163=FALSE,"Not analysed in paper",IF(L163=FALSE,"User not reliable/significant",IF(N163=FALSE,"Paper not significant",IF(P163="","Exact paper latency unavailable",IF(T163&lt;=10,"Close (&lt;=10 ms)",IF(T163&lt;=20,"Similar (10-20 ms)","Different (&gt;20 ms)"))))))</x:f>
        <x:v>User not reliable/significant</x:v>
      </x:c>
      <x:c r="W163" s="37" t="b">
        <x:v>0</x:v>
      </x:c>
      <x:c r="X163" s="38"/>
      <x:c r="Y163" s="38"/>
      <x:c r="Z163" s="39"/>
      <x:c r="AA163" s="39" t="str">
        <x:f>IF(W163=FALSE,"Not explicitly reported in PDF",IF(AND(G163&gt;=X163,G163&lt;=Y163),"Within PDF value/range",IF(MIN(ABS(G163-X163),ABS(G163-Y163))&lt;=15,"Within 15 ms of PDF","Different from PDF")))</x:f>
        <x:v>Not explicitly reported in PDF</x:v>
      </x:c>
    </x:row>
    <x:row r="164">
      <x:c r="A164" s="20" t="str">
        <x:v>RSPagl</x:v>
      </x:c>
      <x:c r="B164" s="20" t="str">
        <x:v>Retrosplenial area lateral agranular part</x:v>
      </x:c>
      <x:c r="C164" s="20" t="str">
        <x:v>Isocortex</x:v>
      </x:c>
      <x:c r="D164" s="24" t="n">
        <x:v>26</x:v>
      </x:c>
      <x:c r="E164" s="24" t="n">
        <x:v>310</x:v>
      </x:c>
      <x:c r="F164" s="25" t="n">
        <x:v>1.598706112202752</x:v>
      </x:c>
      <x:c r="G164" s="25" t="n">
        <x:v>120.91976437282798</x:v>
      </x:c>
      <x:c r="H164" s="26" t="n">
        <x:v>0.0959040959040959</x:v>
      </x:c>
      <x:c r="I164" s="26" t="n">
        <x:v>0.1977557326394535</x:v>
      </x:c>
      <x:c r="J164" s="27" t="b">
        <x:v>1</x:v>
      </x:c>
      <x:c r="K164" s="27" t="b">
        <x:v>0</x:v>
      </x:c>
      <x:c r="L164" s="24" t="b">
        <x:f>AND(J164,K164)</x:f>
        <x:v>0</x:v>
      </x:c>
      <x:c r="M164" s="29" t="b">
        <x:v>1</x:v>
      </x:c>
      <x:c r="N164" s="30" t="n">
        <x:v>1</x:v>
      </x:c>
      <x:c r="O164" s="31" t="n">
        <x:v>-0.92</x:v>
      </x:c>
      <x:c r="P164" s="31" t="n">
        <x:v>93.6170212765957</x:v>
      </x:c>
      <x:c r="Q164" s="31" t="n">
        <x:v>0.1092434251352193</x:v>
      </x:c>
      <x:c r="R164" s="31" t="n">
        <x:v>1</x:v>
      </x:c>
      <x:c r="S164" s="33" t="n">
        <x:f>IF(OR(G164="",P164=""),"",G164-P164)</x:f>
        <x:v>27.30274309623229</x:v>
      </x:c>
      <x:c r="T164" s="33" t="n">
        <x:f>IF(S164="","",ABS(S164))</x:f>
        <x:v>27.30274309623229</x:v>
      </x:c>
      <x:c r="U164" s="34" t="str">
        <x:f>IF(M164=FALSE,"Not analysed in paper",IF(K164=N164,"Significance agrees",IF(K164=TRUE,"User only","Paper only")))</x:f>
        <x:v>Paper only</x:v>
      </x:c>
      <x:c r="V164" s="34" t="str">
        <x:f>IF(M164=FALSE,"Not analysed in paper",IF(L164=FALSE,"User not reliable/significant",IF(N164=FALSE,"Paper not significant",IF(P164="","Exact paper latency unavailable",IF(T164&lt;=10,"Close (&lt;=10 ms)",IF(T164&lt;=20,"Similar (10-20 ms)","Different (&gt;20 ms)"))))))</x:f>
        <x:v>User not reliable/significant</x:v>
      </x:c>
      <x:c r="W164" s="37" t="b">
        <x:v>0</x:v>
      </x:c>
      <x:c r="X164" s="38"/>
      <x:c r="Y164" s="38"/>
      <x:c r="Z164" s="39"/>
      <x:c r="AA164" s="39" t="str">
        <x:f>IF(W164=FALSE,"Not explicitly reported in PDF",IF(AND(G164&gt;=X164,G164&lt;=Y164),"Within PDF value/range",IF(MIN(ABS(G164-X164),ABS(G164-Y164))&lt;=15,"Within 15 ms of PDF","Different from PDF")))</x:f>
        <x:v>Not explicitly reported in PDF</x:v>
      </x:c>
    </x:row>
    <x:row r="165">
      <x:c r="A165" s="20" t="str">
        <x:v>RSPd</x:v>
      </x:c>
      <x:c r="B165" s="20" t="str">
        <x:v>Retrosplenial area dorsal part</x:v>
      </x:c>
      <x:c r="C165" s="20" t="str">
        <x:v>Isocortex</x:v>
      </x:c>
      <x:c r="D165" s="24" t="n">
        <x:v>29</x:v>
      </x:c>
      <x:c r="E165" s="24" t="n">
        <x:v>318</x:v>
      </x:c>
      <x:c r="F165" s="25" t="n">
        <x:v>1.0898986787857203</x:v>
      </x:c>
      <x:c r="G165" s="25" t="n">
        <x:v>109.857380502274</x:v>
      </x:c>
      <x:c r="H165" s="26" t="n">
        <x:v>0.4465534465534465</x:v>
      </x:c>
      <x:c r="I165" s="26" t="n">
        <x:v>0.588035726649588</x:v>
      </x:c>
      <x:c r="J165" s="27" t="b">
        <x:v>1</x:v>
      </x:c>
      <x:c r="K165" s="27" t="b">
        <x:v>0</x:v>
      </x:c>
      <x:c r="L165" s="24" t="b">
        <x:f>AND(J165,K165)</x:f>
        <x:v>0</x:v>
      </x:c>
      <x:c r="M165" s="29" t="b">
        <x:v>1</x:v>
      </x:c>
      <x:c r="N165" s="30" t="n">
        <x:v>0</x:v>
      </x:c>
      <x:c r="O165" s="31" t="n">
        <x:v>-1.09</x:v>
      </x:c>
      <x:c r="P165" s="31" t="n">
        <x:v>63.829787234042506</x:v>
      </x:c>
      <x:c r="Q165" s="31" t="n">
        <x:v>0.1268426513477097</x:v>
      </x:c>
      <x:c r="R165" s="31" t="n">
        <x:v>0</x:v>
      </x:c>
      <x:c r="S165" s="33" t="n">
        <x:f>IF(OR(G165="",P165=""),"",G165-P165)</x:f>
        <x:v>46.02759326823149</x:v>
      </x:c>
      <x:c r="T165" s="33" t="n">
        <x:f>IF(S165="","",ABS(S165))</x:f>
        <x:v>46.02759326823149</x:v>
      </x:c>
      <x:c r="U165" s="34" t="str">
        <x:f>IF(M165=FALSE,"Not analysed in paper",IF(K165=N165,"Significance agrees",IF(K165=TRUE,"User only","Paper only")))</x:f>
        <x:v>Significance agrees</x:v>
      </x:c>
      <x:c r="V165" s="34" t="str">
        <x:f>IF(M165=FALSE,"Not analysed in paper",IF(L165=FALSE,"User not reliable/significant",IF(N165=FALSE,"Paper not significant",IF(P165="","Exact paper latency unavailable",IF(T165&lt;=10,"Close (&lt;=10 ms)",IF(T165&lt;=20,"Similar (10-20 ms)","Different (&gt;20 ms)"))))))</x:f>
        <x:v>User not reliable/significant</x:v>
      </x:c>
      <x:c r="W165" s="37" t="b">
        <x:v>0</x:v>
      </x:c>
      <x:c r="X165" s="38"/>
      <x:c r="Y165" s="38"/>
      <x:c r="Z165" s="39"/>
      <x:c r="AA165" s="39" t="str">
        <x:f>IF(W165=FALSE,"Not explicitly reported in PDF",IF(AND(G165&gt;=X165,G165&lt;=Y165),"Within PDF value/range",IF(MIN(ABS(G165-X165),ABS(G165-Y165))&lt;=15,"Within 15 ms of PDF","Different from PDF")))</x:f>
        <x:v>Not explicitly reported in PDF</x:v>
      </x:c>
    </x:row>
    <x:row r="166">
      <x:c r="A166" s="20" t="str">
        <x:v>RSPv</x:v>
      </x:c>
      <x:c r="B166" s="20" t="str">
        <x:v>Retrosplenial area ventral part</x:v>
      </x:c>
      <x:c r="C166" s="20" t="str">
        <x:v>Isocortex</x:v>
      </x:c>
      <x:c r="D166" s="24" t="n">
        <x:v>33</x:v>
      </x:c>
      <x:c r="E166" s="24" t="n">
        <x:v>528</x:v>
      </x:c>
      <x:c r="F166" s="25" t="n">
        <x:v>1.9244538045278672</x:v>
      </x:c>
      <x:c r="G166" s="25" t="n">
        <x:v>92.15264301809874</x:v>
      </x:c>
      <x:c r="H166" s="26" t="n">
        <x:v>0.0979020979020979</x:v>
      </x:c>
      <x:c r="I166" s="26" t="n">
        <x:v>0.200322754168908</x:v>
      </x:c>
      <x:c r="J166" s="27" t="b">
        <x:v>1</x:v>
      </x:c>
      <x:c r="K166" s="27" t="b">
        <x:v>0</x:v>
      </x:c>
      <x:c r="L166" s="24" t="b">
        <x:f>AND(J166,K166)</x:f>
        <x:v>0</x:v>
      </x:c>
      <x:c r="M166" s="29" t="b">
        <x:v>1</x:v>
      </x:c>
      <x:c r="N166" s="30" t="n">
        <x:v>1</x:v>
      </x:c>
      <x:c r="O166" s="31" t="n">
        <x:v>-0.74</x:v>
      </x:c>
      <x:c r="P166" s="31" t="n">
        <x:v>85.1063829787234</x:v>
      </x:c>
      <x:c r="Q166" s="31" t="n">
        <x:v>0.2295494923164377</x:v>
      </x:c>
      <x:c r="R166" s="31" t="n">
        <x:v>1</x:v>
      </x:c>
      <x:c r="S166" s="33" t="n">
        <x:f>IF(OR(G166="",P166=""),"",G166-P166)</x:f>
        <x:v>7.0462600393753405</x:v>
      </x:c>
      <x:c r="T166" s="33" t="n">
        <x:f>IF(S166="","",ABS(S166))</x:f>
        <x:v>7.0462600393753405</x:v>
      </x:c>
      <x:c r="U166" s="34" t="str">
        <x:f>IF(M166=FALSE,"Not analysed in paper",IF(K166=N166,"Significance agrees",IF(K166=TRUE,"User only","Paper only")))</x:f>
        <x:v>Paper only</x:v>
      </x:c>
      <x:c r="V166" s="34" t="str">
        <x:f>IF(M166=FALSE,"Not analysed in paper",IF(L166=FALSE,"User not reliable/significant",IF(N166=FALSE,"Paper not significant",IF(P166="","Exact paper latency unavailable",IF(T166&lt;=10,"Close (&lt;=10 ms)",IF(T166&lt;=20,"Similar (10-20 ms)","Different (&gt;20 ms)"))))))</x:f>
        <x:v>User not reliable/significant</x:v>
      </x:c>
      <x:c r="W166" s="37" t="b">
        <x:v>0</x:v>
      </x:c>
      <x:c r="X166" s="38"/>
      <x:c r="Y166" s="38"/>
      <x:c r="Z166" s="39"/>
      <x:c r="AA166" s="39" t="str">
        <x:f>IF(W166=FALSE,"Not explicitly reported in PDF",IF(AND(G166&gt;=X166,G166&lt;=Y166),"Within PDF value/range",IF(MIN(ABS(G166-X166),ABS(G166-Y166))&lt;=15,"Within 15 ms of PDF","Different from PDF")))</x:f>
        <x:v>Not explicitly reported in PDF</x:v>
      </x:c>
    </x:row>
    <x:row r="167">
      <x:c r="A167" s="20" t="str">
        <x:v>SSp-bfd</x:v>
      </x:c>
      <x:c r="B167" s="20" t="str">
        <x:v>Primary somatosensory area barrel field</x:v>
      </x:c>
      <x:c r="C167" s="20" t="str">
        <x:v>Isocortex</x:v>
      </x:c>
      <x:c r="D167" s="24" t="n">
        <x:v>30</x:v>
      </x:c>
      <x:c r="E167" s="24" t="n">
        <x:v>488</x:v>
      </x:c>
      <x:c r="F167" s="25" t="n">
        <x:v>1.1518759375886765</x:v>
      </x:c>
      <x:c r="G167" s="25" t="n">
        <x:v>117.51027421870737</x:v>
      </x:c>
      <x:c r="H167" s="26" t="n">
        <x:v>0.3376623376623376</x:v>
      </x:c>
      <x:c r="I167" s="26" t="n">
        <x:v>0.490809736711376</x:v>
      </x:c>
      <x:c r="J167" s="27" t="b">
        <x:v>1</x:v>
      </x:c>
      <x:c r="K167" s="27" t="b">
        <x:v>0</x:v>
      </x:c>
      <x:c r="L167" s="24" t="b">
        <x:f>AND(J167,K167)</x:f>
        <x:v>0</x:v>
      </x:c>
      <x:c r="M167" s="29" t="b">
        <x:v>1</x:v>
      </x:c>
      <x:c r="N167" s="30" t="n">
        <x:v>0</x:v>
      </x:c>
      <x:c r="O167" s="31" t="n">
        <x:v>-1.04</x:v>
      </x:c>
      <x:c r="P167" s="31" t="n">
        <x:v>57.4468085106383</x:v>
      </x:c>
      <x:c r="Q167" s="31" t="n">
        <x:v>0.0507504551465108</x:v>
      </x:c>
      <x:c r="R167" s="31" t="n">
        <x:v>1</x:v>
      </x:c>
      <x:c r="S167" s="33" t="n">
        <x:f>IF(OR(G167="",P167=""),"",G167-P167)</x:f>
        <x:v>60.06346570806907</x:v>
      </x:c>
      <x:c r="T167" s="33" t="n">
        <x:f>IF(S167="","",ABS(S167))</x:f>
        <x:v>60.06346570806907</x:v>
      </x:c>
      <x:c r="U167" s="34" t="str">
        <x:f>IF(M167=FALSE,"Not analysed in paper",IF(K167=N167,"Significance agrees",IF(K167=TRUE,"User only","Paper only")))</x:f>
        <x:v>Significance agrees</x:v>
      </x:c>
      <x:c r="V167" s="34" t="str">
        <x:f>IF(M167=FALSE,"Not analysed in paper",IF(L167=FALSE,"User not reliable/significant",IF(N167=FALSE,"Paper not significant",IF(P167="","Exact paper latency unavailable",IF(T167&lt;=10,"Close (&lt;=10 ms)",IF(T167&lt;=20,"Similar (10-20 ms)","Different (&gt;20 ms)"))))))</x:f>
        <x:v>User not reliable/significant</x:v>
      </x:c>
      <x:c r="W167" s="37" t="b">
        <x:v>0</x:v>
      </x:c>
      <x:c r="X167" s="38"/>
      <x:c r="Y167" s="38"/>
      <x:c r="Z167" s="39"/>
      <x:c r="AA167" s="39" t="str">
        <x:f>IF(W167=FALSE,"Not explicitly reported in PDF",IF(AND(G167&gt;=X167,G167&lt;=Y167),"Within PDF value/range",IF(MIN(ABS(G167-X167),ABS(G167-Y167))&lt;=15,"Within 15 ms of PDF","Different from PDF")))</x:f>
        <x:v>Not explicitly reported in PDF</x:v>
      </x:c>
    </x:row>
    <x:row r="168">
      <x:c r="A168" s="20" t="str">
        <x:v>SSp-ll</x:v>
      </x:c>
      <x:c r="B168" s="20" t="str">
        <x:v>Primary somatosensory area lower limb</x:v>
      </x:c>
      <x:c r="C168" s="20" t="str">
        <x:v>Isocortex</x:v>
      </x:c>
      <x:c r="D168" s="24" t="n">
        <x:v>9</x:v>
      </x:c>
      <x:c r="E168" s="24" t="n">
        <x:v>130</x:v>
      </x:c>
      <x:c r="F168" s="25" t="n">
        <x:v>3.128103791830873</x:v>
      </x:c>
      <x:c r="G168" s="25" t="n">
        <x:v>114.05177341543514</x:v>
      </x:c>
      <x:c r="H168" s="26" t="n">
        <x:v>0.1618381618381618</x:v>
      </x:c>
      <x:c r="I168" s="26" t="n">
        <x:v>0.2948558291024044</x:v>
      </x:c>
      <x:c r="J168" s="27" t="b">
        <x:v>1</x:v>
      </x:c>
      <x:c r="K168" s="27" t="b">
        <x:v>0</x:v>
      </x:c>
      <x:c r="L168" s="24" t="b">
        <x:f>AND(J168,K168)</x:f>
        <x:v>0</x:v>
      </x:c>
      <x:c r="M168" s="29" t="b">
        <x:v>1</x:v>
      </x:c>
      <x:c r="N168" s="30" t="n">
        <x:v>0</x:v>
      </x:c>
      <x:c r="O168" s="31" t="n">
        <x:v>-0.88</x:v>
      </x:c>
      <x:c r="P168" s="31" t="n">
        <x:v>17.021276595744602</x:v>
      </x:c>
      <x:c r="Q168" s="31" t="n">
        <x:v>0.165429882934157</x:v>
      </x:c>
      <x:c r="R168" s="31" t="n">
        <x:v>0</x:v>
      </x:c>
      <x:c r="S168" s="33" t="n">
        <x:f>IF(OR(G168="",P168=""),"",G168-P168)</x:f>
        <x:v>97.03049681969054</x:v>
      </x:c>
      <x:c r="T168" s="33" t="n">
        <x:f>IF(S168="","",ABS(S168))</x:f>
        <x:v>97.03049681969054</x:v>
      </x:c>
      <x:c r="U168" s="34" t="str">
        <x:f>IF(M168=FALSE,"Not analysed in paper",IF(K168=N168,"Significance agrees",IF(K168=TRUE,"User only","Paper only")))</x:f>
        <x:v>Significance agrees</x:v>
      </x:c>
      <x:c r="V168" s="34" t="str">
        <x:f>IF(M168=FALSE,"Not analysed in paper",IF(L168=FALSE,"User not reliable/significant",IF(N168=FALSE,"Paper not significant",IF(P168="","Exact paper latency unavailable",IF(T168&lt;=10,"Close (&lt;=10 ms)",IF(T168&lt;=20,"Similar (10-20 ms)","Different (&gt;20 ms)"))))))</x:f>
        <x:v>User not reliable/significant</x:v>
      </x:c>
      <x:c r="W168" s="37" t="b">
        <x:v>0</x:v>
      </x:c>
      <x:c r="X168" s="38"/>
      <x:c r="Y168" s="38"/>
      <x:c r="Z168" s="39"/>
      <x:c r="AA168" s="39" t="str">
        <x:f>IF(W168=FALSE,"Not explicitly reported in PDF",IF(AND(G168&gt;=X168,G168&lt;=Y168),"Within PDF value/range",IF(MIN(ABS(G168-X168),ABS(G168-Y168))&lt;=15,"Within 15 ms of PDF","Different from PDF")))</x:f>
        <x:v>Not explicitly reported in PDF</x:v>
      </x:c>
    </x:row>
    <x:row r="169">
      <x:c r="A169" s="20" t="str">
        <x:v>SSp-m</x:v>
      </x:c>
      <x:c r="B169" s="20" t="str">
        <x:v>Primary somatosensory area mouth</x:v>
      </x:c>
      <x:c r="C169" s="20" t="str">
        <x:v>Isocortex</x:v>
      </x:c>
      <x:c r="D169" s="24" t="n">
        <x:v>11</x:v>
      </x:c>
      <x:c r="E169" s="24" t="n">
        <x:v>354</x:v>
      </x:c>
      <x:c r="F169" s="25" t="n">
        <x:v>0.7195007418591088</x:v>
      </x:c>
      <x:c r="G169" s="25" t="n">
        <x:v>48.05842082935928</x:v>
      </x:c>
      <x:c r="H169" s="26" t="n">
        <x:v>0.986013986013986</x:v>
      </x:c>
      <x:c r="I169" s="26" t="n">
        <x:v>0.986013986013986</x:v>
      </x:c>
      <x:c r="J169" s="27" t="b">
        <x:v>1</x:v>
      </x:c>
      <x:c r="K169" s="27" t="b">
        <x:v>0</x:v>
      </x:c>
      <x:c r="L169" s="24" t="b">
        <x:f>AND(J169,K169)</x:f>
        <x:v>0</x:v>
      </x:c>
      <x:c r="M169" s="29" t="b">
        <x:v>1</x:v>
      </x:c>
      <x:c r="N169" s="30" t="n">
        <x:v>0</x:v>
      </x:c>
      <x:c r="O169" s="31" t="n">
        <x:v>-1.03</x:v>
      </x:c>
      <x:c r="P169" s="31" t="n">
        <x:v>53.191489361702104</x:v>
      </x:c>
      <x:c r="Q169" s="31" t="n">
        <x:v>0.1252453930088344</x:v>
      </x:c>
      <x:c r="R169" s="31" t="n">
        <x:v>1</x:v>
      </x:c>
      <x:c r="S169" s="33" t="n">
        <x:f>IF(OR(G169="",P169=""),"",G169-P169)</x:f>
        <x:v>-5.133068532342826</x:v>
      </x:c>
      <x:c r="T169" s="33" t="n">
        <x:f>IF(S169="","",ABS(S169))</x:f>
        <x:v>5.133068532342826</x:v>
      </x:c>
      <x:c r="U169" s="34" t="str">
        <x:f>IF(M169=FALSE,"Not analysed in paper",IF(K169=N169,"Significance agrees",IF(K169=TRUE,"User only","Paper only")))</x:f>
        <x:v>Significance agrees</x:v>
      </x:c>
      <x:c r="V169" s="34" t="str">
        <x:f>IF(M169=FALSE,"Not analysed in paper",IF(L169=FALSE,"User not reliable/significant",IF(N169=FALSE,"Paper not significant",IF(P169="","Exact paper latency unavailable",IF(T169&lt;=10,"Close (&lt;=10 ms)",IF(T169&lt;=20,"Similar (10-20 ms)","Different (&gt;20 ms)"))))))</x:f>
        <x:v>User not reliable/significant</x:v>
      </x:c>
      <x:c r="W169" s="37" t="b">
        <x:v>0</x:v>
      </x:c>
      <x:c r="X169" s="38"/>
      <x:c r="Y169" s="38"/>
      <x:c r="Z169" s="39"/>
      <x:c r="AA169" s="39" t="str">
        <x:f>IF(W169=FALSE,"Not explicitly reported in PDF",IF(AND(G169&gt;=X169,G169&lt;=Y169),"Within PDF value/range",IF(MIN(ABS(G169-X169),ABS(G169-Y169))&lt;=15,"Within 15 ms of PDF","Different from PDF")))</x:f>
        <x:v>Not explicitly reported in PDF</x:v>
      </x:c>
    </x:row>
    <x:row r="170">
      <x:c r="A170" s="20" t="str">
        <x:v>SSp-n</x:v>
      </x:c>
      <x:c r="B170" s="20" t="str">
        <x:v>Primary somatosensory area nose</x:v>
      </x:c>
      <x:c r="C170" s="20" t="str">
        <x:v>Isocortex</x:v>
      </x:c>
      <x:c r="D170" s="24" t="n">
        <x:v>7</x:v>
      </x:c>
      <x:c r="E170" s="24" t="n">
        <x:v>72</x:v>
      </x:c>
      <x:c r="F170" s="25" t="n">
        <x:v>1.2599489461314175</x:v>
      </x:c>
      <x:c r="G170" s="25" t="n">
        <x:v>61.55578713803187</x:v>
      </x:c>
      <x:c r="H170" s="26" t="n">
        <x:v>0.6923076923076923</x:v>
      </x:c>
      <x:c r="I170" s="26" t="n">
        <x:v>0.7836333878887071</x:v>
      </x:c>
      <x:c r="J170" s="27" t="b">
        <x:v>1</x:v>
      </x:c>
      <x:c r="K170" s="27" t="b">
        <x:v>0</x:v>
      </x:c>
      <x:c r="L170" s="24" t="b">
        <x:f>AND(J170,K170)</x:f>
        <x:v>0</x:v>
      </x:c>
      <x:c r="M170" s="29" t="b">
        <x:v>1</x:v>
      </x:c>
      <x:c r="N170" s="30" t="n">
        <x:v>0</x:v>
      </x:c>
      <x:c r="O170" s="31" t="n">
        <x:v>-0.86</x:v>
      </x:c>
      <x:c r="P170" s="31"/>
      <x:c r="Q170" s="31" t="n">
        <x:v>0.1646769041179042</x:v>
      </x:c>
      <x:c r="R170" s="31" t="n">
        <x:v>0</x:v>
      </x:c>
      <x:c r="S170" s="33" t="str">
        <x:f>IF(OR(G170="",P170=""),"",G170-P170)</x:f>
      </x:c>
      <x:c r="T170" s="33" t="str">
        <x:f>IF(S170="","",ABS(S170))</x:f>
      </x:c>
      <x:c r="U170" s="34" t="str">
        <x:f>IF(M170=FALSE,"Not analysed in paper",IF(K170=N170,"Significance agrees",IF(K170=TRUE,"User only","Paper only")))</x:f>
        <x:v>Significance agrees</x:v>
      </x:c>
      <x:c r="V170" s="34" t="str">
        <x:f>IF(M170=FALSE,"Not analysed in paper",IF(L170=FALSE,"User not reliable/significant",IF(N170=FALSE,"Paper not significant",IF(P170="","Exact paper latency unavailable",IF(T170&lt;=10,"Close (&lt;=10 ms)",IF(T170&lt;=20,"Similar (10-20 ms)","Different (&gt;20 ms)"))))))</x:f>
        <x:v>User not reliable/significant</x:v>
      </x:c>
      <x:c r="W170" s="37" t="b">
        <x:v>0</x:v>
      </x:c>
      <x:c r="X170" s="38"/>
      <x:c r="Y170" s="38"/>
      <x:c r="Z170" s="39"/>
      <x:c r="AA170" s="39" t="str">
        <x:f>IF(W170=FALSE,"Not explicitly reported in PDF",IF(AND(G170&gt;=X170,G170&lt;=Y170),"Within PDF value/range",IF(MIN(ABS(G170-X170),ABS(G170-Y170))&lt;=15,"Within 15 ms of PDF","Different from PDF")))</x:f>
        <x:v>Not explicitly reported in PDF</x:v>
      </x:c>
    </x:row>
    <x:row r="171">
      <x:c r="A171" s="20" t="str">
        <x:v>SSp-tr</x:v>
      </x:c>
      <x:c r="B171" s="20" t="str">
        <x:v>Primary somatosensory area trunk</x:v>
      </x:c>
      <x:c r="C171" s="20" t="str">
        <x:v>Isocortex</x:v>
      </x:c>
      <x:c r="D171" s="24" t="n">
        <x:v>14</x:v>
      </x:c>
      <x:c r="E171" s="24" t="n">
        <x:v>303</x:v>
      </x:c>
      <x:c r="F171" s="25" t="n">
        <x:v>1.2809996279776046</x:v>
      </x:c>
      <x:c r="G171" s="25" t="n">
        <x:v>114.43699896801202</x:v>
      </x:c>
      <x:c r="H171" s="26" t="n">
        <x:v>0.6643356643356644</x:v>
      </x:c>
      <x:c r="I171" s="26" t="n">
        <x:v>0.7661429479611298</x:v>
      </x:c>
      <x:c r="J171" s="27" t="b">
        <x:v>1</x:v>
      </x:c>
      <x:c r="K171" s="27" t="b">
        <x:v>0</x:v>
      </x:c>
      <x:c r="L171" s="24" t="b">
        <x:f>AND(J171,K171)</x:f>
        <x:v>0</x:v>
      </x:c>
      <x:c r="M171" s="29" t="b">
        <x:v>1</x:v>
      </x:c>
      <x:c r="N171" s="30" t="n">
        <x:v>0</x:v>
      </x:c>
      <x:c r="O171" s="31" t="n">
        <x:v>-1.02</x:v>
      </x:c>
      <x:c r="P171" s="31" t="n">
        <x:v>42.5531914893617</x:v>
      </x:c>
      <x:c r="Q171" s="31" t="n">
        <x:v>0.0851327021726706</x:v>
      </x:c>
      <x:c r="R171" s="31" t="n">
        <x:v>0</x:v>
      </x:c>
      <x:c r="S171" s="33" t="n">
        <x:f>IF(OR(G171="",P171=""),"",G171-P171)</x:f>
        <x:v>71.88380747865031</x:v>
      </x:c>
      <x:c r="T171" s="33" t="n">
        <x:f>IF(S171="","",ABS(S171))</x:f>
        <x:v>71.88380747865031</x:v>
      </x:c>
      <x:c r="U171" s="34" t="str">
        <x:f>IF(M171=FALSE,"Not analysed in paper",IF(K171=N171,"Significance agrees",IF(K171=TRUE,"User only","Paper only")))</x:f>
        <x:v>Significance agrees</x:v>
      </x:c>
      <x:c r="V171" s="34" t="str">
        <x:f>IF(M171=FALSE,"Not analysed in paper",IF(L171=FALSE,"User not reliable/significant",IF(N171=FALSE,"Paper not significant",IF(P171="","Exact paper latency unavailable",IF(T171&lt;=10,"Close (&lt;=10 ms)",IF(T171&lt;=20,"Similar (10-20 ms)","Different (&gt;20 ms)"))))))</x:f>
        <x:v>User not reliable/significant</x:v>
      </x:c>
      <x:c r="W171" s="37" t="b">
        <x:v>0</x:v>
      </x:c>
      <x:c r="X171" s="38"/>
      <x:c r="Y171" s="38"/>
      <x:c r="Z171" s="39"/>
      <x:c r="AA171" s="39" t="str">
        <x:f>IF(W171=FALSE,"Not explicitly reported in PDF",IF(AND(G171&gt;=X171,G171&lt;=Y171),"Within PDF value/range",IF(MIN(ABS(G171-X171),ABS(G171-Y171))&lt;=15,"Within 15 ms of PDF","Different from PDF")))</x:f>
        <x:v>Not explicitly reported in PDF</x:v>
      </x:c>
    </x:row>
    <x:row r="172">
      <x:c r="A172" s="20" t="str">
        <x:v>SSp-ul</x:v>
      </x:c>
      <x:c r="B172" s="20" t="str">
        <x:v>Primary somatosensory area upper limb</x:v>
      </x:c>
      <x:c r="C172" s="20" t="str">
        <x:v>Isocortex</x:v>
      </x:c>
      <x:c r="D172" s="24" t="n">
        <x:v>13</x:v>
      </x:c>
      <x:c r="E172" s="24" t="n">
        <x:v>196</x:v>
      </x:c>
      <x:c r="F172" s="25" t="n">
        <x:v>6.657959688762971</x:v>
      </x:c>
      <x:c r="G172" s="25" t="n">
        <x:v>111.3619876822541</x:v>
      </x:c>
      <x:c r="H172" s="26" t="n">
        <x:v>0.1358641358641358</x:v>
      </x:c>
      <x:c r="I172" s="26" t="n">
        <x:v>0.2563110648217031</x:v>
      </x:c>
      <x:c r="J172" s="27" t="b">
        <x:v>1</x:v>
      </x:c>
      <x:c r="K172" s="27" t="b">
        <x:v>0</x:v>
      </x:c>
      <x:c r="L172" s="24" t="b">
        <x:f>AND(J172,K172)</x:f>
        <x:v>0</x:v>
      </x:c>
      <x:c r="M172" s="29" t="b">
        <x:v>1</x:v>
      </x:c>
      <x:c r="N172" s="30" t="n">
        <x:v>1</x:v>
      </x:c>
      <x:c r="O172" s="31" t="n">
        <x:v>-0.44</x:v>
      </x:c>
      <x:c r="P172" s="31" t="n">
        <x:v>95.7446808510638</x:v>
      </x:c>
      <x:c r="Q172" s="31" t="n">
        <x:v>0.4671783632533834</x:v>
      </x:c>
      <x:c r="R172" s="31" t="n">
        <x:v>1</x:v>
      </x:c>
      <x:c r="S172" s="33" t="n">
        <x:f>IF(OR(G172="",P172=""),"",G172-P172)</x:f>
        <x:v>15.617306831190291</x:v>
      </x:c>
      <x:c r="T172" s="33" t="n">
        <x:f>IF(S172="","",ABS(S172))</x:f>
        <x:v>15.617306831190291</x:v>
      </x:c>
      <x:c r="U172" s="34" t="str">
        <x:f>IF(M172=FALSE,"Not analysed in paper",IF(K172=N172,"Significance agrees",IF(K172=TRUE,"User only","Paper only")))</x:f>
        <x:v>Paper only</x:v>
      </x:c>
      <x:c r="V172" s="34" t="str">
        <x:f>IF(M172=FALSE,"Not analysed in paper",IF(L172=FALSE,"User not reliable/significant",IF(N172=FALSE,"Paper not significant",IF(P172="","Exact paper latency unavailable",IF(T172&lt;=10,"Close (&lt;=10 ms)",IF(T172&lt;=20,"Similar (10-20 ms)","Different (&gt;20 ms)"))))))</x:f>
        <x:v>User not reliable/significant</x:v>
      </x:c>
      <x:c r="W172" s="37" t="b">
        <x:v>0</x:v>
      </x:c>
      <x:c r="X172" s="38"/>
      <x:c r="Y172" s="38"/>
      <x:c r="Z172" s="39"/>
      <x:c r="AA172" s="39" t="str">
        <x:f>IF(W172=FALSE,"Not explicitly reported in PDF",IF(AND(G172&gt;=X172,G172&lt;=Y172),"Within PDF value/range",IF(MIN(ABS(G172-X172),ABS(G172-Y172))&lt;=15,"Within 15 ms of PDF","Different from PDF")))</x:f>
        <x:v>Not explicitly reported in PDF</x:v>
      </x:c>
    </x:row>
    <x:row r="173">
      <x:c r="A173" s="20" t="str">
        <x:v>SSp-un</x:v>
      </x:c>
      <x:c r="B173" s="20" t="str">
        <x:v>Primary somatosensory area unassigned</x:v>
      </x:c>
      <x:c r="C173" s="20" t="str">
        <x:v>Isocortex</x:v>
      </x:c>
      <x:c r="D173" s="24" t="n">
        <x:v>5</x:v>
      </x:c>
      <x:c r="E173" s="24" t="n">
        <x:v>67</x:v>
      </x:c>
      <x:c r="F173" s="25" t="n">
        <x:v>1.9193390352094997</x:v>
      </x:c>
      <x:c r="G173" s="25" t="n">
        <x:v>129.4089167445495</x:v>
      </x:c>
      <x:c r="H173" s="26" t="n">
        <x:v>0.3376623376623376</x:v>
      </x:c>
      <x:c r="I173" s="26" t="n">
        <x:v>0.490809736711376</x:v>
      </x:c>
      <x:c r="J173" s="27" t="b">
        <x:v>1</x:v>
      </x:c>
      <x:c r="K173" s="27" t="b">
        <x:v>0</x:v>
      </x:c>
      <x:c r="L173" s="24" t="b">
        <x:f>AND(J173,K173)</x:f>
        <x:v>0</x:v>
      </x:c>
      <x:c r="M173" s="29" t="b">
        <x:v>1</x:v>
      </x:c>
      <x:c r="N173" s="30" t="n">
        <x:v>0</x:v>
      </x:c>
      <x:c r="O173" s="31" t="n">
        <x:v>-0.88</x:v>
      </x:c>
      <x:c r="P173" s="31" t="n">
        <x:v>85.1063829787234</x:v>
      </x:c>
      <x:c r="Q173" s="31" t="n">
        <x:v>0.2019856039314449</x:v>
      </x:c>
      <x:c r="R173" s="31" t="n">
        <x:v>1</x:v>
      </x:c>
      <x:c r="S173" s="33" t="n">
        <x:f>IF(OR(G173="",P173=""),"",G173-P173)</x:f>
        <x:v>44.302533765826084</x:v>
      </x:c>
      <x:c r="T173" s="33" t="n">
        <x:f>IF(S173="","",ABS(S173))</x:f>
        <x:v>44.302533765826084</x:v>
      </x:c>
      <x:c r="U173" s="34" t="str">
        <x:f>IF(M173=FALSE,"Not analysed in paper",IF(K173=N173,"Significance agrees",IF(K173=TRUE,"User only","Paper only")))</x:f>
        <x:v>Significance agrees</x:v>
      </x:c>
      <x:c r="V173" s="34" t="str">
        <x:f>IF(M173=FALSE,"Not analysed in paper",IF(L173=FALSE,"User not reliable/significant",IF(N173=FALSE,"Paper not significant",IF(P173="","Exact paper latency unavailable",IF(T173&lt;=10,"Close (&lt;=10 ms)",IF(T173&lt;=20,"Similar (10-20 ms)","Different (&gt;20 ms)"))))))</x:f>
        <x:v>User not reliable/significant</x:v>
      </x:c>
      <x:c r="W173" s="37" t="b">
        <x:v>0</x:v>
      </x:c>
      <x:c r="X173" s="38"/>
      <x:c r="Y173" s="38"/>
      <x:c r="Z173" s="39"/>
      <x:c r="AA173" s="39" t="str">
        <x:f>IF(W173=FALSE,"Not explicitly reported in PDF",IF(AND(G173&gt;=X173,G173&lt;=Y173),"Within PDF value/range",IF(MIN(ABS(G173-X173),ABS(G173-Y173))&lt;=15,"Within 15 ms of PDF","Different from PDF")))</x:f>
        <x:v>Not explicitly reported in PDF</x:v>
      </x:c>
    </x:row>
    <x:row r="174">
      <x:c r="A174" s="20" t="str">
        <x:v>SSs</x:v>
      </x:c>
      <x:c r="B174" s="20" t="str">
        <x:v>Supplemental somatosensory area</x:v>
      </x:c>
      <x:c r="C174" s="20" t="str">
        <x:v>Isocortex</x:v>
      </x:c>
      <x:c r="D174" s="24" t="n">
        <x:v>15</x:v>
      </x:c>
      <x:c r="E174" s="24" t="n">
        <x:v>439</x:v>
      </x:c>
      <x:c r="F174" s="25" t="n">
        <x:v>1.979545963683848</x:v>
      </x:c>
      <x:c r="G174" s="25" t="n">
        <x:v>122.47052718689906</x:v>
      </x:c>
      <x:c r="H174" s="26" t="n">
        <x:v>0.0199800199800199</x:v>
      </x:c>
      <x:c r="I174" s="26" t="n">
        <x:v>0.0617986664498292</x:v>
      </x:c>
      <x:c r="J174" s="27" t="b">
        <x:v>1</x:v>
      </x:c>
      <x:c r="K174" s="27" t="b">
        <x:v>0</x:v>
      </x:c>
      <x:c r="L174" s="24" t="b">
        <x:f>AND(J174,K174)</x:f>
        <x:v>0</x:v>
      </x:c>
      <x:c r="M174" s="29" t="b">
        <x:v>1</x:v>
      </x:c>
      <x:c r="N174" s="30" t="n">
        <x:v>0</x:v>
      </x:c>
      <x:c r="O174" s="31" t="n">
        <x:v>-1.04</x:v>
      </x:c>
      <x:c r="P174" s="31" t="n">
        <x:v>82.9787234042553</x:v>
      </x:c>
      <x:c r="Q174" s="31" t="n">
        <x:v>0.0751349807542944</x:v>
      </x:c>
      <x:c r="R174" s="31" t="n">
        <x:v>1</x:v>
      </x:c>
      <x:c r="S174" s="33" t="n">
        <x:f>IF(OR(G174="",P174=""),"",G174-P174)</x:f>
        <x:v>39.49180378264376</x:v>
      </x:c>
      <x:c r="T174" s="33" t="n">
        <x:f>IF(S174="","",ABS(S174))</x:f>
        <x:v>39.49180378264376</x:v>
      </x:c>
      <x:c r="U174" s="34" t="str">
        <x:f>IF(M174=FALSE,"Not analysed in paper",IF(K174=N174,"Significance agrees",IF(K174=TRUE,"User only","Paper only")))</x:f>
        <x:v>Significance agrees</x:v>
      </x:c>
      <x:c r="V174" s="34" t="str">
        <x:f>IF(M174=FALSE,"Not analysed in paper",IF(L174=FALSE,"User not reliable/significant",IF(N174=FALSE,"Paper not significant",IF(P174="","Exact paper latency unavailable",IF(T174&lt;=10,"Close (&lt;=10 ms)",IF(T174&lt;=20,"Similar (10-20 ms)","Different (&gt;20 ms)"))))))</x:f>
        <x:v>User not reliable/significant</x:v>
      </x:c>
      <x:c r="W174" s="37" t="b">
        <x:v>0</x:v>
      </x:c>
      <x:c r="X174" s="38"/>
      <x:c r="Y174" s="38"/>
      <x:c r="Z174" s="39"/>
      <x:c r="AA174" s="39" t="str">
        <x:f>IF(W174=FALSE,"Not explicitly reported in PDF",IF(AND(G174&gt;=X174,G174&lt;=Y174),"Within PDF value/range",IF(MIN(ABS(G174-X174),ABS(G174-Y174))&lt;=15,"Within 15 ms of PDF","Different from PDF")))</x:f>
        <x:v>Not explicitly reported in PDF</x:v>
      </x:c>
    </x:row>
    <x:row r="175">
      <x:c r="A175" s="20" t="str">
        <x:v>TEa</x:v>
      </x:c>
      <x:c r="B175" s="20" t="str">
        <x:v>Temporal association areas</x:v>
      </x:c>
      <x:c r="C175" s="20" t="str">
        <x:v>Isocortex</x:v>
      </x:c>
      <x:c r="D175" s="24" t="n">
        <x:v>10</x:v>
      </x:c>
      <x:c r="E175" s="24" t="n">
        <x:v>166</x:v>
      </x:c>
      <x:c r="F175" s="25" t="n">
        <x:v>0.8279072623197827</x:v>
      </x:c>
      <x:c r="G175" s="25" t="n">
        <x:v>84.86202366983102</x:v>
      </x:c>
      <x:c r="H175" s="26" t="n">
        <x:v>0.0179820179820179</x:v>
      </x:c>
      <x:c r="I175" s="26" t="n">
        <x:v>0.0583319119904485</x:v>
      </x:c>
      <x:c r="J175" s="27" t="b">
        <x:v>1</x:v>
      </x:c>
      <x:c r="K175" s="27" t="b">
        <x:v>0</x:v>
      </x:c>
      <x:c r="L175" s="24" t="b">
        <x:f>AND(J175,K175)</x:f>
        <x:v>0</x:v>
      </x:c>
      <x:c r="M175" s="29" t="b">
        <x:v>1</x:v>
      </x:c>
      <x:c r="N175" s="30" t="n">
        <x:v>1</x:v>
      </x:c>
      <x:c r="O175" s="31" t="n">
        <x:v>-1.03</x:v>
      </x:c>
      <x:c r="P175" s="31" t="n">
        <x:v>76.595744680851</x:v>
      </x:c>
      <x:c r="Q175" s="31" t="n">
        <x:v>0.0988521836921486</x:v>
      </x:c>
      <x:c r="R175" s="31" t="n">
        <x:v>1</x:v>
      </x:c>
      <x:c r="S175" s="33" t="n">
        <x:f>IF(OR(G175="",P175=""),"",G175-P175)</x:f>
        <x:v>8.26627898898002</x:v>
      </x:c>
      <x:c r="T175" s="33" t="n">
        <x:f>IF(S175="","",ABS(S175))</x:f>
        <x:v>8.26627898898002</x:v>
      </x:c>
      <x:c r="U175" s="34" t="str">
        <x:f>IF(M175=FALSE,"Not analysed in paper",IF(K175=N175,"Significance agrees",IF(K175=TRUE,"User only","Paper only")))</x:f>
        <x:v>Paper only</x:v>
      </x:c>
      <x:c r="V175" s="34" t="str">
        <x:f>IF(M175=FALSE,"Not analysed in paper",IF(L175=FALSE,"User not reliable/significant",IF(N175=FALSE,"Paper not significant",IF(P175="","Exact paper latency unavailable",IF(T175&lt;=10,"Close (&lt;=10 ms)",IF(T175&lt;=20,"Similar (10-20 ms)","Different (&gt;20 ms)"))))))</x:f>
        <x:v>User not reliable/significant</x:v>
      </x:c>
      <x:c r="W175" s="37" t="b">
        <x:v>0</x:v>
      </x:c>
      <x:c r="X175" s="38"/>
      <x:c r="Y175" s="38"/>
      <x:c r="Z175" s="39"/>
      <x:c r="AA175" s="39" t="str">
        <x:f>IF(W175=FALSE,"Not explicitly reported in PDF",IF(AND(G175&gt;=X175,G175&lt;=Y175),"Within PDF value/range",IF(MIN(ABS(G175-X175),ABS(G175-Y175))&lt;=15,"Within 15 ms of PDF","Different from PDF")))</x:f>
        <x:v>Not explicitly reported in PDF</x:v>
      </x:c>
    </x:row>
    <x:row r="176">
      <x:c r="A176" s="20" t="str">
        <x:v>VISC</x:v>
      </x:c>
      <x:c r="B176" s="20" t="str">
        <x:v>Visceral area</x:v>
      </x:c>
      <x:c r="C176" s="20" t="str">
        <x:v>Isocortex</x:v>
      </x:c>
      <x:c r="D176" s="24" t="n">
        <x:v>5</x:v>
      </x:c>
      <x:c r="E176" s="24" t="n">
        <x:v>61</x:v>
      </x:c>
      <x:c r="F176" s="25" t="n">
        <x:v>0.9255120421788569</x:v>
      </x:c>
      <x:c r="G176" s="25" t="n">
        <x:v>13.74176878892094</x:v>
      </x:c>
      <x:c r="H176" s="26" t="n">
        <x:v>0.3506493506493506</x:v>
      </x:c>
      <x:c r="I176" s="26" t="n">
        <x:v>0.5041769041769042</x:v>
      </x:c>
      <x:c r="J176" s="27" t="b">
        <x:v>1</x:v>
      </x:c>
      <x:c r="K176" s="27" t="b">
        <x:v>0</x:v>
      </x:c>
      <x:c r="L176" s="24" t="b">
        <x:f>AND(J176,K176)</x:f>
        <x:v>0</x:v>
      </x:c>
      <x:c r="M176" s="29" t="b">
        <x:v>1</x:v>
      </x:c>
      <x:c r="N176" s="30" t="n">
        <x:v>0</x:v>
      </x:c>
      <x:c r="O176" s="31" t="n">
        <x:v>-0.9</x:v>
      </x:c>
      <x:c r="P176" s="31" t="n">
        <x:v>2.1276595744680002</x:v>
      </x:c>
      <x:c r="Q176" s="31" t="n">
        <x:v>0.1263485360057871</x:v>
      </x:c>
      <x:c r="R176" s="31" t="n">
        <x:v>0</x:v>
      </x:c>
      <x:c r="S176" s="33" t="n">
        <x:f>IF(OR(G176="",P176=""),"",G176-P176)</x:f>
        <x:v>11.61410921445294</x:v>
      </x:c>
      <x:c r="T176" s="33" t="n">
        <x:f>IF(S176="","",ABS(S176))</x:f>
        <x:v>11.61410921445294</x:v>
      </x:c>
      <x:c r="U176" s="34" t="str">
        <x:f>IF(M176=FALSE,"Not analysed in paper",IF(K176=N176,"Significance agrees",IF(K176=TRUE,"User only","Paper only")))</x:f>
        <x:v>Significance agrees</x:v>
      </x:c>
      <x:c r="V176" s="34" t="str">
        <x:f>IF(M176=FALSE,"Not analysed in paper",IF(L176=FALSE,"User not reliable/significant",IF(N176=FALSE,"Paper not significant",IF(P176="","Exact paper latency unavailable",IF(T176&lt;=10,"Close (&lt;=10 ms)",IF(T176&lt;=20,"Similar (10-20 ms)","Different (&gt;20 ms)"))))))</x:f>
        <x:v>User not reliable/significant</x:v>
      </x:c>
      <x:c r="W176" s="37" t="b">
        <x:v>0</x:v>
      </x:c>
      <x:c r="X176" s="38"/>
      <x:c r="Y176" s="38"/>
      <x:c r="Z176" s="39"/>
      <x:c r="AA176" s="39" t="str">
        <x:f>IF(W176=FALSE,"Not explicitly reported in PDF",IF(AND(G176&gt;=X176,G176&lt;=Y176),"Within PDF value/range",IF(MIN(ABS(G176-X176),ABS(G176-Y176))&lt;=15,"Within 15 ms of PDF","Different from PDF")))</x:f>
        <x:v>Not explicitly reported in PDF</x:v>
      </x:c>
    </x:row>
    <x:row r="177">
      <x:c r="A177" s="20" t="str">
        <x:v>VISa</x:v>
      </x:c>
      <x:c r="B177" s="20" t="str">
        <x:v>Anterior area</x:v>
      </x:c>
      <x:c r="C177" s="20" t="str">
        <x:v>Isocortex</x:v>
      </x:c>
      <x:c r="D177" s="24" t="n">
        <x:v>47</x:v>
      </x:c>
      <x:c r="E177" s="24" t="n">
        <x:v>940</x:v>
      </x:c>
      <x:c r="F177" s="25" t="n">
        <x:v>1.1873121334279415</x:v>
      </x:c>
      <x:c r="G177" s="25" t="n">
        <x:v>75.85641615486215</x:v>
      </x:c>
      <x:c r="H177" s="26" t="n">
        <x:v>0.2347652347652347</x:v>
      </x:c>
      <x:c r="I177" s="26" t="n">
        <x:v>0.3854787188120521</x:v>
      </x:c>
      <x:c r="J177" s="27" t="b">
        <x:v>1</x:v>
      </x:c>
      <x:c r="K177" s="27" t="b">
        <x:v>0</x:v>
      </x:c>
      <x:c r="L177" s="24" t="b">
        <x:f>AND(J177,K177)</x:f>
        <x:v>0</x:v>
      </x:c>
      <x:c r="M177" s="29" t="b">
        <x:v>1</x:v>
      </x:c>
      <x:c r="N177" s="30" t="n">
        <x:v>1</x:v>
      </x:c>
      <x:c r="O177" s="31" t="n">
        <x:v>-0.85</x:v>
      </x:c>
      <x:c r="P177" s="31" t="n">
        <x:v>59.574468085106304</x:v>
      </x:c>
      <x:c r="Q177" s="31" t="n">
        <x:v>0.1022000783058829</x:v>
      </x:c>
      <x:c r="R177" s="31" t="n">
        <x:v>0</x:v>
      </x:c>
      <x:c r="S177" s="33" t="n">
        <x:f>IF(OR(G177="",P177=""),"",G177-P177)</x:f>
        <x:v>16.281948069755842</x:v>
      </x:c>
      <x:c r="T177" s="33" t="n">
        <x:f>IF(S177="","",ABS(S177))</x:f>
        <x:v>16.281948069755842</x:v>
      </x:c>
      <x:c r="U177" s="34" t="str">
        <x:f>IF(M177=FALSE,"Not analysed in paper",IF(K177=N177,"Significance agrees",IF(K177=TRUE,"User only","Paper only")))</x:f>
        <x:v>Paper only</x:v>
      </x:c>
      <x:c r="V177" s="34" t="str">
        <x:f>IF(M177=FALSE,"Not analysed in paper",IF(L177=FALSE,"User not reliable/significant",IF(N177=FALSE,"Paper not significant",IF(P177="","Exact paper latency unavailable",IF(T177&lt;=10,"Close (&lt;=10 ms)",IF(T177&lt;=20,"Similar (10-20 ms)","Different (&gt;20 ms)"))))))</x:f>
        <x:v>User not reliable/significant</x:v>
      </x:c>
      <x:c r="W177" s="37" t="b">
        <x:v>0</x:v>
      </x:c>
      <x:c r="X177" s="38"/>
      <x:c r="Y177" s="38"/>
      <x:c r="Z177" s="39"/>
      <x:c r="AA177" s="39" t="str">
        <x:f>IF(W177=FALSE,"Not explicitly reported in PDF",IF(AND(G177&gt;=X177,G177&lt;=Y177),"Within PDF value/range",IF(MIN(ABS(G177-X177),ABS(G177-Y177))&lt;=15,"Within 15 ms of PDF","Different from PDF")))</x:f>
        <x:v>Not explicitly reported in PDF</x:v>
      </x:c>
    </x:row>
    <x:row r="178">
      <x:c r="A178" s="20" t="str">
        <x:v>VISal</x:v>
      </x:c>
      <x:c r="B178" s="20" t="str">
        <x:v>Anterolateral visual area</x:v>
      </x:c>
      <x:c r="C178" s="20" t="str">
        <x:v>Isocortex</x:v>
      </x:c>
      <x:c r="D178" s="24" t="n">
        <x:v>4</x:v>
      </x:c>
      <x:c r="E178" s="24" t="n">
        <x:v>95</x:v>
      </x:c>
      <x:c r="F178" s="25" t="n">
        <x:v>3.4470172444950924</x:v>
      </x:c>
      <x:c r="G178" s="25" t="n">
        <x:v>65.21739637631286</x:v>
      </x:c>
      <x:c r="H178" s="26" t="n">
        <x:v>0.0129870129870129</x:v>
      </x:c>
      <x:c r="I178" s="26" t="n">
        <x:v>0.046060606060606</x:v>
      </x:c>
      <x:c r="J178" s="27" t="b">
        <x:v>1</x:v>
      </x:c>
      <x:c r="K178" s="27" t="b">
        <x:v>0</x:v>
      </x:c>
      <x:c r="L178" s="24" t="b">
        <x:f>AND(J178,K178)</x:f>
        <x:v>0</x:v>
      </x:c>
      <x:c r="M178" s="29" t="b">
        <x:v>1</x:v>
      </x:c>
      <x:c r="N178" s="30" t="n">
        <x:v>1</x:v>
      </x:c>
      <x:c r="O178" s="31" t="n">
        <x:v>-0.41</x:v>
      </x:c>
      <x:c r="P178" s="31" t="n">
        <x:v>48.9361702127659</x:v>
      </x:c>
      <x:c r="Q178" s="31" t="n">
        <x:v>0.3976766592671978</x:v>
      </x:c>
      <x:c r="R178" s="31" t="n">
        <x:v>1</x:v>
      </x:c>
      <x:c r="S178" s="33" t="n">
        <x:f>IF(OR(G178="",P178=""),"",G178-P178)</x:f>
        <x:v>16.28122616354696</x:v>
      </x:c>
      <x:c r="T178" s="33" t="n">
        <x:f>IF(S178="","",ABS(S178))</x:f>
        <x:v>16.28122616354696</x:v>
      </x:c>
      <x:c r="U178" s="34" t="str">
        <x:f>IF(M178=FALSE,"Not analysed in paper",IF(K178=N178,"Significance agrees",IF(K178=TRUE,"User only","Paper only")))</x:f>
        <x:v>Paper only</x:v>
      </x:c>
      <x:c r="V178" s="34" t="str">
        <x:f>IF(M178=FALSE,"Not analysed in paper",IF(L178=FALSE,"User not reliable/significant",IF(N178=FALSE,"Paper not significant",IF(P178="","Exact paper latency unavailable",IF(T178&lt;=10,"Close (&lt;=10 ms)",IF(T178&lt;=20,"Similar (10-20 ms)","Different (&gt;20 ms)"))))))</x:f>
        <x:v>User not reliable/significant</x:v>
      </x:c>
      <x:c r="W178" s="37" t="b">
        <x:v>0</x:v>
      </x:c>
      <x:c r="X178" s="38"/>
      <x:c r="Y178" s="38"/>
      <x:c r="Z178" s="39"/>
      <x:c r="AA178" s="39" t="str">
        <x:f>IF(W178=FALSE,"Not explicitly reported in PDF",IF(AND(G178&gt;=X178,G178&lt;=Y178),"Within PDF value/range",IF(MIN(ABS(G178-X178),ABS(G178-Y178))&lt;=15,"Within 15 ms of PDF","Different from PDF")))</x:f>
        <x:v>Not explicitly reported in PDF</x:v>
      </x:c>
    </x:row>
    <x:row r="179">
      <x:c r="A179" s="20" t="str">
        <x:v>VISam</x:v>
      </x:c>
      <x:c r="B179" s="20" t="str">
        <x:v>Anteromedial visual area</x:v>
      </x:c>
      <x:c r="C179" s="20" t="str">
        <x:v>Isocortex</x:v>
      </x:c>
      <x:c r="D179" s="24" t="n">
        <x:v>23</x:v>
      </x:c>
      <x:c r="E179" s="24" t="n">
        <x:v>374</x:v>
      </x:c>
      <x:c r="F179" s="25" t="n">
        <x:v>2.455667160467146</x:v>
      </x:c>
      <x:c r="G179" s="25" t="n">
        <x:v>62.66680923955178</x:v>
      </x:c>
      <x:c r="H179" s="26" t="n">
        <x:v>0.0009990009990009</x:v>
      </x:c>
      <x:c r="I179" s="26" t="n">
        <x:v>0.0066433566433566</x:v>
      </x:c>
      <x:c r="J179" s="27" t="b">
        <x:v>1</x:v>
      </x:c>
      <x:c r="K179" s="27" t="b">
        <x:v>1</x:v>
      </x:c>
      <x:c r="L179" s="24" t="b">
        <x:f>AND(J179,K179)</x:f>
        <x:v>1</x:v>
      </x:c>
      <x:c r="M179" s="29" t="b">
        <x:v>1</x:v>
      </x:c>
      <x:c r="N179" s="30" t="n">
        <x:v>1</x:v>
      </x:c>
      <x:c r="O179" s="31" t="n">
        <x:v>-0.51</x:v>
      </x:c>
      <x:c r="P179" s="31" t="n">
        <x:v>65.9574468085106</x:v>
      </x:c>
      <x:c r="Q179" s="31" t="n">
        <x:v>0.3262557825359652</x:v>
      </x:c>
      <x:c r="R179" s="31" t="n">
        <x:v>1</x:v>
      </x:c>
      <x:c r="S179" s="33" t="n">
        <x:f>IF(OR(G179="",P179=""),"",G179-P179)</x:f>
        <x:v>-3.2906375689588145</x:v>
      </x:c>
      <x:c r="T179" s="33" t="n">
        <x:f>IF(S179="","",ABS(S179))</x:f>
        <x:v>3.2906375689588145</x:v>
      </x:c>
      <x:c r="U179" s="34" t="str">
        <x:f>IF(M179=FALSE,"Not analysed in paper",IF(K179=N179,"Significance agrees",IF(K179=TRUE,"User only","Paper only")))</x:f>
        <x:v>Significance agrees</x:v>
      </x:c>
      <x:c r="V179" s="34" t="str">
        <x:f>IF(M179=FALSE,"Not analysed in paper",IF(L179=FALSE,"User not reliable/significant",IF(N179=FALSE,"Paper not significant",IF(P179="","Exact paper latency unavailable",IF(T179&lt;=10,"Close (&lt;=10 ms)",IF(T179&lt;=20,"Similar (10-20 ms)","Different (&gt;20 ms)"))))))</x:f>
        <x:v>Close (&lt;=10 ms)</x:v>
      </x:c>
      <x:c r="W179" s="37" t="b">
        <x:v>1</x:v>
      </x:c>
      <x:c r="X179" s="38" t="n">
        <x:v>78</x:v>
      </x:c>
      <x:c r="Y179" s="38" t="n">
        <x:v>78</x:v>
      </x:c>
      <x:c r="Z179" s="39" t="str">
        <x:v>approximately 78 ms</x:v>
      </x:c>
      <x:c r="AA179" s="39" t="str">
        <x:f>IF(W179=FALSE,"Not explicitly reported in PDF",IF(AND(G179&gt;=X179,G179&lt;=Y179),"Within PDF value/range",IF(MIN(ABS(G179-X179),ABS(G179-Y179))&lt;=15,"Within 15 ms of PDF","Different from PDF")))</x:f>
        <x:v>Different from PDF</x:v>
      </x:c>
    </x:row>
    <x:row r="180">
      <x:c r="A180" s="20" t="str">
        <x:v>VISl</x:v>
      </x:c>
      <x:c r="B180" s="20" t="str">
        <x:v>Lateral visual area</x:v>
      </x:c>
      <x:c r="C180" s="20" t="str">
        <x:v>Isocortex</x:v>
      </x:c>
      <x:c r="D180" s="24" t="n">
        <x:v>11</x:v>
      </x:c>
      <x:c r="E180" s="24" t="n">
        <x:v>151</x:v>
      </x:c>
      <x:c r="F180" s="25" t="n">
        <x:v>2.5180972010330684</x:v>
      </x:c>
      <x:c r="G180" s="25" t="n">
        <x:v>48.54453912020537</x:v>
      </x:c>
      <x:c r="H180" s="26" t="n">
        <x:v>0.0069930069930069</x:v>
      </x:c>
      <x:c r="I180" s="26" t="n">
        <x:v>0.0295260295260295</x:v>
      </x:c>
      <x:c r="J180" s="27" t="b">
        <x:v>1</x:v>
      </x:c>
      <x:c r="K180" s="27" t="b">
        <x:v>0</x:v>
      </x:c>
      <x:c r="L180" s="24" t="b">
        <x:f>AND(J180,K180)</x:f>
        <x:v>0</x:v>
      </x:c>
      <x:c r="M180" s="29" t="b">
        <x:v>1</x:v>
      </x:c>
      <x:c r="N180" s="30" t="n">
        <x:v>1</x:v>
      </x:c>
      <x:c r="O180" s="31" t="n">
        <x:v>-0.45</x:v>
      </x:c>
      <x:c r="P180" s="31" t="n">
        <x:v>42.5531914893617</x:v>
      </x:c>
      <x:c r="Q180" s="31" t="n">
        <x:v>0.5692015224823346</x:v>
      </x:c>
      <x:c r="R180" s="31" t="n">
        <x:v>1</x:v>
      </x:c>
      <x:c r="S180" s="33" t="n">
        <x:f>IF(OR(G180="",P180=""),"",G180-P180)</x:f>
        <x:v>5.99134763084367</x:v>
      </x:c>
      <x:c r="T180" s="33" t="n">
        <x:f>IF(S180="","",ABS(S180))</x:f>
        <x:v>5.99134763084367</x:v>
      </x:c>
      <x:c r="U180" s="34" t="str">
        <x:f>IF(M180=FALSE,"Not analysed in paper",IF(K180=N180,"Significance agrees",IF(K180=TRUE,"User only","Paper only")))</x:f>
        <x:v>Paper only</x:v>
      </x:c>
      <x:c r="V180" s="34" t="str">
        <x:f>IF(M180=FALSE,"Not analysed in paper",IF(L180=FALSE,"User not reliable/significant",IF(N180=FALSE,"Paper not significant",IF(P180="","Exact paper latency unavailable",IF(T180&lt;=10,"Close (&lt;=10 ms)",IF(T180&lt;=20,"Similar (10-20 ms)","Different (&gt;20 ms)"))))))</x:f>
        <x:v>User not reliable/significant</x:v>
      </x:c>
      <x:c r="W180" s="37" t="b">
        <x:v>0</x:v>
      </x:c>
      <x:c r="X180" s="38"/>
      <x:c r="Y180" s="38"/>
      <x:c r="Z180" s="39"/>
      <x:c r="AA180" s="39" t="str">
        <x:f>IF(W180=FALSE,"Not explicitly reported in PDF",IF(AND(G180&gt;=X180,G180&lt;=Y180),"Within PDF value/range",IF(MIN(ABS(G180-X180),ABS(G180-Y180))&lt;=15,"Within 15 ms of PDF","Different from PDF")))</x:f>
        <x:v>Not explicitly reported in PDF</x:v>
      </x:c>
    </x:row>
    <x:row r="181">
      <x:c r="A181" s="20" t="str">
        <x:v>VISli</x:v>
      </x:c>
      <x:c r="B181" s="20" t="str">
        <x:v>Laterointermediate area</x:v>
      </x:c>
      <x:c r="C181" s="20" t="str">
        <x:v>Isocortex</x:v>
      </x:c>
      <x:c r="D181" s="24" t="n">
        <x:v>8</x:v>
      </x:c>
      <x:c r="E181" s="24" t="n">
        <x:v>83</x:v>
      </x:c>
      <x:c r="F181" s="25" t="n">
        <x:v>1.881610847934718</x:v>
      </x:c>
      <x:c r="G181" s="25" t="n">
        <x:v>54.519351914960446</x:v>
      </x:c>
      <x:c r="H181" s="26" t="n">
        <x:v>0.0019980019980019</x:v>
      </x:c>
      <x:c r="I181" s="26" t="n">
        <x:v>0.0120788302606484</x:v>
      </x:c>
      <x:c r="J181" s="27" t="b">
        <x:v>1</x:v>
      </x:c>
      <x:c r="K181" s="27" t="b">
        <x:v>0</x:v>
      </x:c>
      <x:c r="L181" s="24" t="b">
        <x:f>AND(J181,K181)</x:f>
        <x:v>0</x:v>
      </x:c>
      <x:c r="M181" s="29" t="b">
        <x:v>1</x:v>
      </x:c>
      <x:c r="N181" s="30" t="n">
        <x:v>1</x:v>
      </x:c>
      <x:c r="O181" s="31" t="n">
        <x:v>-0.59</x:v>
      </x:c>
      <x:c r="P181" s="31" t="n">
        <x:v>51.063829787234</x:v>
      </x:c>
      <x:c r="Q181" s="31" t="n">
        <x:v>0.2451507272176948</x:v>
      </x:c>
      <x:c r="R181" s="31" t="n">
        <x:v>1</x:v>
      </x:c>
      <x:c r="S181" s="33" t="n">
        <x:f>IF(OR(G181="",P181=""),"",G181-P181)</x:f>
        <x:v>3.4555221277264465</x:v>
      </x:c>
      <x:c r="T181" s="33" t="n">
        <x:f>IF(S181="","",ABS(S181))</x:f>
        <x:v>3.4555221277264465</x:v>
      </x:c>
      <x:c r="U181" s="34" t="str">
        <x:f>IF(M181=FALSE,"Not analysed in paper",IF(K181=N181,"Significance agrees",IF(K181=TRUE,"User only","Paper only")))</x:f>
        <x:v>Paper only</x:v>
      </x:c>
      <x:c r="V181" s="34" t="str">
        <x:f>IF(M181=FALSE,"Not analysed in paper",IF(L181=FALSE,"User not reliable/significant",IF(N181=FALSE,"Paper not significant",IF(P181="","Exact paper latency unavailable",IF(T181&lt;=10,"Close (&lt;=10 ms)",IF(T181&lt;=20,"Similar (10-20 ms)","Different (&gt;20 ms)"))))))</x:f>
        <x:v>User not reliable/significant</x:v>
      </x:c>
      <x:c r="W181" s="37" t="b">
        <x:v>0</x:v>
      </x:c>
      <x:c r="X181" s="38"/>
      <x:c r="Y181" s="38"/>
      <x:c r="Z181" s="39"/>
      <x:c r="AA181" s="39" t="str">
        <x:f>IF(W181=FALSE,"Not explicitly reported in PDF",IF(AND(G181&gt;=X181,G181&lt;=Y181),"Within PDF value/range",IF(MIN(ABS(G181-X181),ABS(G181-Y181))&lt;=15,"Within 15 ms of PDF","Different from PDF")))</x:f>
        <x:v>Not explicitly reported in PDF</x:v>
      </x:c>
    </x:row>
    <x:row r="182">
      <x:c r="A182" s="20" t="str">
        <x:v>VISp</x:v>
      </x:c>
      <x:c r="B182" s="20" t="str">
        <x:v>Primary visual area</x:v>
      </x:c>
      <x:c r="C182" s="20" t="str">
        <x:v>Isocortex</x:v>
      </x:c>
      <x:c r="D182" s="24" t="n">
        <x:v>51</x:v>
      </x:c>
      <x:c r="E182" s="24" t="n">
        <x:v>880</x:v>
      </x:c>
      <x:c r="F182" s="25" t="n">
        <x:v>2.987100887907539</x:v>
      </x:c>
      <x:c r="G182" s="25" t="n">
        <x:v>49.716550680310185</x:v>
      </x:c>
      <x:c r="H182" s="26" t="n">
        <x:v>0.0009990009990009</x:v>
      </x:c>
      <x:c r="I182" s="26" t="n">
        <x:v>0.0066433566433566</x:v>
      </x:c>
      <x:c r="J182" s="27" t="b">
        <x:v>1</x:v>
      </x:c>
      <x:c r="K182" s="27" t="b">
        <x:v>1</x:v>
      </x:c>
      <x:c r="L182" s="24" t="b">
        <x:f>AND(J182,K182)</x:f>
        <x:v>1</x:v>
      </x:c>
      <x:c r="M182" s="29" t="b">
        <x:v>1</x:v>
      </x:c>
      <x:c r="N182" s="30" t="n">
        <x:v>1</x:v>
      </x:c>
      <x:c r="O182" s="31" t="n">
        <x:v>-0.44</x:v>
      </x:c>
      <x:c r="P182" s="31" t="n">
        <x:v>44.6808510638297</x:v>
      </x:c>
      <x:c r="Q182" s="31" t="n">
        <x:v>0.1953490306346462</x:v>
      </x:c>
      <x:c r="R182" s="31" t="n">
        <x:v>1</x:v>
      </x:c>
      <x:c r="S182" s="33" t="n">
        <x:f>IF(OR(G182="",P182=""),"",G182-P182)</x:f>
        <x:v>5.0356996164804855</x:v>
      </x:c>
      <x:c r="T182" s="33" t="n">
        <x:f>IF(S182="","",ABS(S182))</x:f>
        <x:v>5.0356996164804855</x:v>
      </x:c>
      <x:c r="U182" s="34" t="str">
        <x:f>IF(M182=FALSE,"Not analysed in paper",IF(K182=N182,"Significance agrees",IF(K182=TRUE,"User only","Paper only")))</x:f>
        <x:v>Significance agrees</x:v>
      </x:c>
      <x:c r="V182" s="34" t="str">
        <x:f>IF(M182=FALSE,"Not analysed in paper",IF(L182=FALSE,"User not reliable/significant",IF(N182=FALSE,"Paper not significant",IF(P182="","Exact paper latency unavailable",IF(T182&lt;=10,"Close (&lt;=10 ms)",IF(T182&lt;=20,"Similar (10-20 ms)","Different (&gt;20 ms)"))))))</x:f>
        <x:v>Close (&lt;=10 ms)</x:v>
      </x:c>
      <x:c r="W182" s="37" t="b">
        <x:v>1</x:v>
      </x:c>
      <x:c r="X182" s="38" t="n">
        <x:v>42</x:v>
      </x:c>
      <x:c r="Y182" s="38" t="n">
        <x:v>42</x:v>
      </x:c>
      <x:c r="Z182" s="39" t="str">
        <x:v>approximately 42 ms</x:v>
      </x:c>
      <x:c r="AA182" s="39" t="str">
        <x:f>IF(W182=FALSE,"Not explicitly reported in PDF",IF(AND(G182&gt;=X182,G182&lt;=Y182),"Within PDF value/range",IF(MIN(ABS(G182-X182),ABS(G182-Y182))&lt;=15,"Within 15 ms of PDF","Different from PDF")))</x:f>
        <x:v>Within 15 ms of PDF</x:v>
      </x:c>
    </x:row>
    <x:row r="183">
      <x:c r="A183" s="20" t="str">
        <x:v>VISpl</x:v>
      </x:c>
      <x:c r="B183" s="20" t="str">
        <x:v>Posterolateral visual area</x:v>
      </x:c>
      <x:c r="C183" s="20" t="str">
        <x:v>Isocortex</x:v>
      </x:c>
      <x:c r="D183" s="24" t="n">
        <x:v>6</x:v>
      </x:c>
      <x:c r="E183" s="24" t="n">
        <x:v>95</x:v>
      </x:c>
      <x:c r="F183" s="25" t="n">
        <x:v>0.8663821002057366</x:v>
      </x:c>
      <x:c r="G183" s="25" t="n">
        <x:v>12.562184675551784</x:v>
      </x:c>
      <x:c r="H183" s="26" t="n">
        <x:v>0.962037962037962</x:v>
      </x:c>
      <x:c r="I183" s="26" t="n">
        <x:v>0.9814049586776858</x:v>
      </x:c>
      <x:c r="J183" s="27" t="b">
        <x:v>1</x:v>
      </x:c>
      <x:c r="K183" s="27" t="b">
        <x:v>0</x:v>
      </x:c>
      <x:c r="L183" s="24" t="b">
        <x:f>AND(J183,K183)</x:f>
        <x:v>0</x:v>
      </x:c>
      <x:c r="M183" s="29" t="b">
        <x:v>1</x:v>
      </x:c>
      <x:c r="N183" s="30" t="n">
        <x:v>0</x:v>
      </x:c>
      <x:c r="O183" s="31" t="n">
        <x:v>-1.03</x:v>
      </x:c>
      <x:c r="P183" s="31" t="n">
        <x:v>40.4255319148936</x:v>
      </x:c>
      <x:c r="Q183" s="31" t="n">
        <x:v>0.0910439706985365</x:v>
      </x:c>
      <x:c r="R183" s="31" t="n">
        <x:v>0</x:v>
      </x:c>
      <x:c r="S183" s="33" t="n">
        <x:f>IF(OR(G183="",P183=""),"",G183-P183)</x:f>
        <x:v>-27.863347239341813</x:v>
      </x:c>
      <x:c r="T183" s="33" t="n">
        <x:f>IF(S183="","",ABS(S183))</x:f>
        <x:v>27.863347239341813</x:v>
      </x:c>
      <x:c r="U183" s="34" t="str">
        <x:f>IF(M183=FALSE,"Not analysed in paper",IF(K183=N183,"Significance agrees",IF(K183=TRUE,"User only","Paper only")))</x:f>
        <x:v>Significance agrees</x:v>
      </x:c>
      <x:c r="V183" s="34" t="str">
        <x:f>IF(M183=FALSE,"Not analysed in paper",IF(L183=FALSE,"User not reliable/significant",IF(N183=FALSE,"Paper not significant",IF(P183="","Exact paper latency unavailable",IF(T183&lt;=10,"Close (&lt;=10 ms)",IF(T183&lt;=20,"Similar (10-20 ms)","Different (&gt;20 ms)"))))))</x:f>
        <x:v>User not reliable/significant</x:v>
      </x:c>
      <x:c r="W183" s="37" t="b">
        <x:v>0</x:v>
      </x:c>
      <x:c r="X183" s="38"/>
      <x:c r="Y183" s="38"/>
      <x:c r="Z183" s="39"/>
      <x:c r="AA183" s="39" t="str">
        <x:f>IF(W183=FALSE,"Not explicitly reported in PDF",IF(AND(G183&gt;=X183,G183&lt;=Y183),"Within PDF value/range",IF(MIN(ABS(G183-X183),ABS(G183-Y183))&lt;=15,"Within 15 ms of PDF","Different from PDF")))</x:f>
        <x:v>Not explicitly reported in PDF</x:v>
      </x:c>
    </x:row>
    <x:row r="184">
      <x:c r="A184" s="20" t="str">
        <x:v>VISpm</x:v>
      </x:c>
      <x:c r="B184" s="20" t="str">
        <x:v>posteromedial visual area</x:v>
      </x:c>
      <x:c r="C184" s="20" t="str">
        <x:v>Isocortex</x:v>
      </x:c>
      <x:c r="D184" s="24" t="n">
        <x:v>12</x:v>
      </x:c>
      <x:c r="E184" s="24" t="n">
        <x:v>241</x:v>
      </x:c>
      <x:c r="F184" s="25" t="n">
        <x:v>3.1343568813431792</x:v>
      </x:c>
      <x:c r="G184" s="25" t="n">
        <x:v>64.6665412027366</x:v>
      </x:c>
      <x:c r="H184" s="26" t="n">
        <x:v>0.0009990009990009</x:v>
      </x:c>
      <x:c r="I184" s="26" t="n">
        <x:v>0.0066433566433566</x:v>
      </x:c>
      <x:c r="J184" s="27" t="b">
        <x:v>1</x:v>
      </x:c>
      <x:c r="K184" s="27" t="b">
        <x:v>1</x:v>
      </x:c>
      <x:c r="L184" s="24" t="b">
        <x:f>AND(J184,K184)</x:f>
        <x:v>1</x:v>
      </x:c>
      <x:c r="M184" s="29" t="b">
        <x:v>1</x:v>
      </x:c>
      <x:c r="N184" s="30" t="n">
        <x:v>1</x:v>
      </x:c>
      <x:c r="O184" s="31" t="n">
        <x:v>-0.41</x:v>
      </x:c>
      <x:c r="P184" s="31" t="n">
        <x:v>59.574468085106304</x:v>
      </x:c>
      <x:c r="Q184" s="31" t="n">
        <x:v>0.4086607150272466</x:v>
      </x:c>
      <x:c r="R184" s="31" t="n">
        <x:v>1</x:v>
      </x:c>
      <x:c r="S184" s="33" t="n">
        <x:f>IF(OR(G184="",P184=""),"",G184-P184)</x:f>
        <x:v>5.092073117630292</x:v>
      </x:c>
      <x:c r="T184" s="33" t="n">
        <x:f>IF(S184="","",ABS(S184))</x:f>
        <x:v>5.092073117630292</x:v>
      </x:c>
      <x:c r="U184" s="34" t="str">
        <x:f>IF(M184=FALSE,"Not analysed in paper",IF(K184=N184,"Significance agrees",IF(K184=TRUE,"User only","Paper only")))</x:f>
        <x:v>Significance agrees</x:v>
      </x:c>
      <x:c r="V184" s="34" t="str">
        <x:f>IF(M184=FALSE,"Not analysed in paper",IF(L184=FALSE,"User not reliable/significant",IF(N184=FALSE,"Paper not significant",IF(P184="","Exact paper latency unavailable",IF(T184&lt;=10,"Close (&lt;=10 ms)",IF(T184&lt;=20,"Similar (10-20 ms)","Different (&gt;20 ms)"))))))</x:f>
        <x:v>Close (&lt;=10 ms)</x:v>
      </x:c>
      <x:c r="W184" s="37" t="b">
        <x:v>1</x:v>
      </x:c>
      <x:c r="X184" s="38" t="n">
        <x:v>57</x:v>
      </x:c>
      <x:c r="Y184" s="38" t="n">
        <x:v>57</x:v>
      </x:c>
      <x:c r="Z184" s="39" t="str">
        <x:v>approximately 57 ms</x:v>
      </x:c>
      <x:c r="AA184" s="39" t="str">
        <x:f>IF(W184=FALSE,"Not explicitly reported in PDF",IF(AND(G184&gt;=X184,G184&lt;=Y184),"Within PDF value/range",IF(MIN(ABS(G184-X184),ABS(G184-Y184))&lt;=15,"Within 15 ms of PDF","Different from PDF")))</x:f>
        <x:v>Within 15 ms of PDF</x:v>
      </x:c>
    </x:row>
    <x:row r="185">
      <x:c r="A185" s="20" t="str">
        <x:v>VISpor</x:v>
      </x:c>
      <x:c r="B185" s="20" t="str">
        <x:v>Postrhinal area</x:v>
      </x:c>
      <x:c r="C185" s="20" t="str">
        <x:v>Isocortex</x:v>
      </x:c>
      <x:c r="D185" s="24" t="n">
        <x:v>7</x:v>
      </x:c>
      <x:c r="E185" s="24" t="n">
        <x:v>99</x:v>
      </x:c>
      <x:c r="F185" s="25" t="n">
        <x:v>1.3286607427637107</x:v>
      </x:c>
      <x:c r="G185" s="25" t="n">
        <x:v>70.3205024926799</x:v>
      </x:c>
      <x:c r="H185" s="26" t="n">
        <x:v>0.1998001998001998</x:v>
      </x:c>
      <x:c r="I185" s="26" t="n">
        <x:v>0.3428829235280848</x:v>
      </x:c>
      <x:c r="J185" s="27" t="b">
        <x:v>1</x:v>
      </x:c>
      <x:c r="K185" s="27" t="b">
        <x:v>0</x:v>
      </x:c>
      <x:c r="L185" s="24" t="b">
        <x:f>AND(J185,K185)</x:f>
        <x:v>0</x:v>
      </x:c>
      <x:c r="M185" s="29" t="b">
        <x:v>1</x:v>
      </x:c>
      <x:c r="N185" s="30" t="n">
        <x:v>0</x:v>
      </x:c>
      <x:c r="O185" s="31" t="n">
        <x:v>-0.9</x:v>
      </x:c>
      <x:c r="P185" s="31" t="n">
        <x:v>51.063829787234</x:v>
      </x:c>
      <x:c r="Q185" s="31" t="n">
        <x:v>0.1117299354709501</x:v>
      </x:c>
      <x:c r="R185" s="31" t="n">
        <x:v>0</x:v>
      </x:c>
      <x:c r="S185" s="33" t="n">
        <x:f>IF(OR(G185="",P185=""),"",G185-P185)</x:f>
        <x:v>19.256672705445908</x:v>
      </x:c>
      <x:c r="T185" s="33" t="n">
        <x:f>IF(S185="","",ABS(S185))</x:f>
        <x:v>19.256672705445908</x:v>
      </x:c>
      <x:c r="U185" s="34" t="str">
        <x:f>IF(M185=FALSE,"Not analysed in paper",IF(K185=N185,"Significance agrees",IF(K185=TRUE,"User only","Paper only")))</x:f>
        <x:v>Significance agrees</x:v>
      </x:c>
      <x:c r="V185" s="34" t="str">
        <x:f>IF(M185=FALSE,"Not analysed in paper",IF(L185=FALSE,"User not reliable/significant",IF(N185=FALSE,"Paper not significant",IF(P185="","Exact paper latency unavailable",IF(T185&lt;=10,"Close (&lt;=10 ms)",IF(T185&lt;=20,"Similar (10-20 ms)","Different (&gt;20 ms)"))))))</x:f>
        <x:v>User not reliable/significant</x:v>
      </x:c>
      <x:c r="W185" s="37" t="b">
        <x:v>0</x:v>
      </x:c>
      <x:c r="X185" s="38"/>
      <x:c r="Y185" s="38"/>
      <x:c r="Z185" s="39"/>
      <x:c r="AA185" s="39" t="str">
        <x:f>IF(W185=FALSE,"Not explicitly reported in PDF",IF(AND(G185&gt;=X185,G185&lt;=Y185),"Within PDF value/range",IF(MIN(ABS(G185-X185),ABS(G185-Y185))&lt;=15,"Within 15 ms of PDF","Different from PDF")))</x:f>
        <x:v>Not explicitly reported in PDF</x:v>
      </x:c>
    </x:row>
    <x:row r="186">
      <x:c r="A186" s="20" t="str">
        <x:v>VISrl</x:v>
      </x:c>
      <x:c r="B186" s="20" t="str">
        <x:v>Rostrolateral visual area</x:v>
      </x:c>
      <x:c r="C186" s="20" t="str">
        <x:v>Isocortex</x:v>
      </x:c>
      <x:c r="D186" s="24" t="n">
        <x:v>7</x:v>
      </x:c>
      <x:c r="E186" s="24" t="n">
        <x:v>75</x:v>
      </x:c>
      <x:c r="F186" s="25" t="n">
        <x:v>1.6959350699309923</x:v>
      </x:c>
      <x:c r="G186" s="25" t="n">
        <x:v>114.67653542054336</x:v>
      </x:c>
      <x:c r="H186" s="26" t="n">
        <x:v>0.2437562437562437</x:v>
      </x:c>
      <x:c r="I186" s="26" t="n">
        <x:v>0.3929646111464293</x:v>
      </x:c>
      <x:c r="J186" s="27" t="b">
        <x:v>1</x:v>
      </x:c>
      <x:c r="K186" s="27" t="b">
        <x:v>0</x:v>
      </x:c>
      <x:c r="L186" s="24" t="b">
        <x:f>AND(J186,K186)</x:f>
        <x:v>0</x:v>
      </x:c>
      <x:c r="M186" s="29" t="b">
        <x:v>1</x:v>
      </x:c>
      <x:c r="N186" s="30" t="n">
        <x:v>0</x:v>
      </x:c>
      <x:c r="O186" s="31" t="n">
        <x:v>-0.99</x:v>
      </x:c>
      <x:c r="P186" s="31" t="n">
        <x:v>42.5531914893617</x:v>
      </x:c>
      <x:c r="Q186" s="31" t="n">
        <x:v>0.1434126617713776</x:v>
      </x:c>
      <x:c r="R186" s="31" t="n">
        <x:v>1</x:v>
      </x:c>
      <x:c r="S186" s="33" t="n">
        <x:f>IF(OR(G186="",P186=""),"",G186-P186)</x:f>
        <x:v>72.12334393118167</x:v>
      </x:c>
      <x:c r="T186" s="33" t="n">
        <x:f>IF(S186="","",ABS(S186))</x:f>
        <x:v>72.12334393118167</x:v>
      </x:c>
      <x:c r="U186" s="34" t="str">
        <x:f>IF(M186=FALSE,"Not analysed in paper",IF(K186=N186,"Significance agrees",IF(K186=TRUE,"User only","Paper only")))</x:f>
        <x:v>Significance agrees</x:v>
      </x:c>
      <x:c r="V186" s="34" t="str">
        <x:f>IF(M186=FALSE,"Not analysed in paper",IF(L186=FALSE,"User not reliable/significant",IF(N186=FALSE,"Paper not significant",IF(P186="","Exact paper latency unavailable",IF(T186&lt;=10,"Close (&lt;=10 ms)",IF(T186&lt;=20,"Similar (10-20 ms)","Different (&gt;20 ms)"))))))</x:f>
        <x:v>User not reliable/significant</x:v>
      </x:c>
      <x:c r="W186" s="37" t="b">
        <x:v>0</x:v>
      </x:c>
      <x:c r="X186" s="38"/>
      <x:c r="Y186" s="38"/>
      <x:c r="Z186" s="39"/>
      <x:c r="AA186" s="39" t="str">
        <x:f>IF(W186=FALSE,"Not explicitly reported in PDF",IF(AND(G186&gt;=X186,G186&lt;=Y186),"Within PDF value/range",IF(MIN(ABS(G186-X186),ABS(G186-Y186))&lt;=15,"Within 15 ms of PDF","Different from PDF")))</x:f>
        <x:v>Not explicitly reported in PDF</x:v>
      </x:c>
    </x:row>
    <x:row r="187">
      <x:c r="A187" s="20" t="str">
        <x:v>APN</x:v>
      </x:c>
      <x:c r="B187" s="20" t="str">
        <x:v>Anterior pretectal nucleus</x:v>
      </x:c>
      <x:c r="C187" s="20" t="str">
        <x:v>Midbrain</x:v>
      </x:c>
      <x:c r="D187" s="24" t="n">
        <x:v>61</x:v>
      </x:c>
      <x:c r="E187" s="24" t="n">
        <x:v>1543</x:v>
      </x:c>
      <x:c r="F187" s="25" t="n">
        <x:v>4.648252749741072</x:v>
      </x:c>
      <x:c r="G187" s="25" t="n">
        <x:v>118.58711334382228</x:v>
      </x:c>
      <x:c r="H187" s="26" t="n">
        <x:v>0.0009990009990009</x:v>
      </x:c>
      <x:c r="I187" s="26" t="n">
        <x:v>0.0066433566433566</x:v>
      </x:c>
      <x:c r="J187" s="27" t="b">
        <x:v>1</x:v>
      </x:c>
      <x:c r="K187" s="27" t="b">
        <x:v>1</x:v>
      </x:c>
      <x:c r="L187" s="24" t="b">
        <x:f>AND(J187,K187)</x:f>
        <x:v>1</x:v>
      </x:c>
      <x:c r="M187" s="29" t="b">
        <x:v>1</x:v>
      </x:c>
      <x:c r="N187" s="30" t="n">
        <x:v>1</x:v>
      </x:c>
      <x:c r="O187" s="31" t="n">
        <x:v>-0.54</x:v>
      </x:c>
      <x:c r="P187" s="31" t="n">
        <x:v>89.3617021276595</x:v>
      </x:c>
      <x:c r="Q187" s="31" t="n">
        <x:v>0.3504728558460734</x:v>
      </x:c>
      <x:c r="R187" s="31" t="n">
        <x:v>1</x:v>
      </x:c>
      <x:c r="S187" s="33" t="n">
        <x:f>IF(OR(G187="",P187=""),"",G187-P187)</x:f>
        <x:v>29.225411216162783</x:v>
      </x:c>
      <x:c r="T187" s="33" t="n">
        <x:f>IF(S187="","",ABS(S187))</x:f>
        <x:v>29.225411216162783</x:v>
      </x:c>
      <x:c r="U187" s="34" t="str">
        <x:f>IF(M187=FALSE,"Not analysed in paper",IF(K187=N187,"Significance agrees",IF(K187=TRUE,"User only","Paper only")))</x:f>
        <x:v>Significance agrees</x:v>
      </x:c>
      <x:c r="V187" s="34" t="str">
        <x:f>IF(M187=FALSE,"Not analysed in paper",IF(L187=FALSE,"User not reliable/significant",IF(N187=FALSE,"Paper not significant",IF(P187="","Exact paper latency unavailable",IF(T187&lt;=10,"Close (&lt;=10 ms)",IF(T187&lt;=20,"Similar (10-20 ms)","Different (&gt;20 ms)"))))))</x:f>
        <x:v>Different (&gt;20 ms)</x:v>
      </x:c>
      <x:c r="W187" s="37" t="b">
        <x:v>0</x:v>
      </x:c>
      <x:c r="X187" s="38"/>
      <x:c r="Y187" s="38"/>
      <x:c r="Z187" s="39"/>
      <x:c r="AA187" s="39" t="str">
        <x:f>IF(W187=FALSE,"Not explicitly reported in PDF",IF(AND(G187&gt;=X187,G187&lt;=Y187),"Within PDF value/range",IF(MIN(ABS(G187-X187),ABS(G187-Y187))&lt;=15,"Within 15 ms of PDF","Different from PDF")))</x:f>
        <x:v>Not explicitly reported in PDF</x:v>
      </x:c>
    </x:row>
    <x:row r="188">
      <x:c r="A188" s="20" t="str">
        <x:v>AT</x:v>
      </x:c>
      <x:c r="B188" s="20" t="str">
        <x:v>Anterior tegmental nucleus</x:v>
      </x:c>
      <x:c r="C188" s="20" t="str">
        <x:v>Midbrain</x:v>
      </x:c>
      <x:c r="D188" s="24" t="n">
        <x:v>2</x:v>
      </x:c>
      <x:c r="E188" s="24" t="n">
        <x:v>23</x:v>
      </x:c>
      <x:c r="F188" s="25" t="n">
        <x:v>4.58283445194497</x:v>
      </x:c>
      <x:c r="G188" s="25" t="n">
        <x:v>62.20280480799943</x:v>
      </x:c>
      <x:c r="H188" s="26" t="n">
        <x:v>0.0249750249750249</x:v>
      </x:c>
      <x:c r="I188" s="26" t="n">
        <x:v>0.0706740068442196</x:v>
      </x:c>
      <x:c r="J188" s="27" t="b">
        <x:v>1</x:v>
      </x:c>
      <x:c r="K188" s="27" t="b">
        <x:v>0</x:v>
      </x:c>
      <x:c r="L188" s="24" t="b">
        <x:f>AND(J188,K188)</x:f>
        <x:v>0</x:v>
      </x:c>
      <x:c r="M188" s="29" t="b">
        <x:v>0</x:v>
      </x:c>
      <x:c r="N188" s="30"/>
      <x:c r="O188" s="31"/>
      <x:c r="P188" s="31"/>
      <x:c r="Q188" s="31"/>
      <x:c r="R188" s="31"/>
      <x:c r="S188" s="33" t="str">
        <x:f>IF(OR(G188="",P188=""),"",G188-P188)</x:f>
      </x:c>
      <x:c r="T188" s="33" t="str">
        <x:f>IF(S188="","",ABS(S188))</x:f>
      </x:c>
      <x:c r="U188" s="34" t="str">
        <x:f>IF(M188=FALSE,"Not analysed in paper",IF(K188=N188,"Significance agrees",IF(K188=TRUE,"User only","Paper only")))</x:f>
        <x:v>Not analysed in paper</x:v>
      </x:c>
      <x:c r="V188" s="34" t="str">
        <x:f>IF(M188=FALSE,"Not analysed in paper",IF(L188=FALSE,"User not reliable/significant",IF(N188=FALSE,"Paper not significant",IF(P188="","Exact paper latency unavailable",IF(T188&lt;=10,"Close (&lt;=10 ms)",IF(T188&lt;=20,"Similar (10-20 ms)","Different (&gt;20 ms)"))))))</x:f>
        <x:v>Not analysed in paper</x:v>
      </x:c>
      <x:c r="W188" s="37" t="b">
        <x:v>0</x:v>
      </x:c>
      <x:c r="X188" s="38"/>
      <x:c r="Y188" s="38"/>
      <x:c r="Z188" s="39"/>
      <x:c r="AA188" s="39" t="str">
        <x:f>IF(W188=FALSE,"Not explicitly reported in PDF",IF(AND(G188&gt;=X188,G188&lt;=Y188),"Within PDF value/range",IF(MIN(ABS(G188-X188),ABS(G188-Y188))&lt;=15,"Within 15 ms of PDF","Different from PDF")))</x:f>
        <x:v>Not explicitly reported in PDF</x:v>
      </x:c>
    </x:row>
    <x:row r="189">
      <x:c r="A189" s="20" t="str">
        <x:v>CLI</x:v>
      </x:c>
      <x:c r="B189" s="20" t="str">
        <x:v>Central linear nucleus raphe</x:v>
      </x:c>
      <x:c r="C189" s="20" t="str">
        <x:v>Midbrain</x:v>
      </x:c>
      <x:c r="D189" s="24" t="n">
        <x:v>6</x:v>
      </x:c>
      <x:c r="E189" s="24" t="n">
        <x:v>89</x:v>
      </x:c>
      <x:c r="F189" s="25" t="n">
        <x:v>1.8500299727396456</x:v>
      </x:c>
      <x:c r="G189" s="25" t="n">
        <x:v>111.9783365515464</x:v>
      </x:c>
      <x:c r="H189" s="26" t="n">
        <x:v>0.8751248751248751</x:v>
      </x:c>
      <x:c r="I189" s="26" t="n">
        <x:v>0.9305950966030018</x:v>
      </x:c>
      <x:c r="J189" s="27" t="b">
        <x:v>1</x:v>
      </x:c>
      <x:c r="K189" s="27" t="b">
        <x:v>0</x:v>
      </x:c>
      <x:c r="L189" s="24" t="b">
        <x:f>AND(J189,K189)</x:f>
        <x:v>0</x:v>
      </x:c>
      <x:c r="M189" s="29" t="b">
        <x:v>1</x:v>
      </x:c>
      <x:c r="N189" s="30" t="n">
        <x:v>0</x:v>
      </x:c>
      <x:c r="O189" s="31" t="n">
        <x:v>-0.74</x:v>
      </x:c>
      <x:c r="P189" s="31"/>
      <x:c r="Q189" s="31"/>
      <x:c r="R189" s="31"/>
      <x:c r="S189" s="33" t="str">
        <x:f>IF(OR(G189="",P189=""),"",G189-P189)</x:f>
      </x:c>
      <x:c r="T189" s="33" t="str">
        <x:f>IF(S189="","",ABS(S189))</x:f>
      </x:c>
      <x:c r="U189" s="34" t="str">
        <x:f>IF(M189=FALSE,"Not analysed in paper",IF(K189=N189,"Significance agrees",IF(K189=TRUE,"User only","Paper only")))</x:f>
        <x:v>Significance agrees</x:v>
      </x:c>
      <x:c r="V189" s="34" t="str">
        <x:f>IF(M189=FALSE,"Not analysed in paper",IF(L189=FALSE,"User not reliable/significant",IF(N189=FALSE,"Paper not significant",IF(P189="","Exact paper latency unavailable",IF(T189&lt;=10,"Close (&lt;=10 ms)",IF(T189&lt;=20,"Similar (10-20 ms)","Different (&gt;20 ms)"))))))</x:f>
        <x:v>User not reliable/significant</x:v>
      </x:c>
      <x:c r="W189" s="37" t="b">
        <x:v>0</x:v>
      </x:c>
      <x:c r="X189" s="38"/>
      <x:c r="Y189" s="38"/>
      <x:c r="Z189" s="39"/>
      <x:c r="AA189" s="39" t="str">
        <x:f>IF(W189=FALSE,"Not explicitly reported in PDF",IF(AND(G189&gt;=X189,G189&lt;=Y189),"Within PDF value/range",IF(MIN(ABS(G189-X189),ABS(G189-Y189))&lt;=15,"Within 15 ms of PDF","Different from PDF")))</x:f>
        <x:v>Not explicitly reported in PDF</x:v>
      </x:c>
    </x:row>
    <x:row r="190">
      <x:c r="A190" s="20" t="str">
        <x:v>CUN</x:v>
      </x:c>
      <x:c r="B190" s="20" t="str">
        <x:v>Cuneiform nucleus</x:v>
      </x:c>
      <x:c r="C190" s="20" t="str">
        <x:v>Midbrain</x:v>
      </x:c>
      <x:c r="D190" s="24" t="n">
        <x:v>10</x:v>
      </x:c>
      <x:c r="E190" s="24" t="n">
        <x:v>100</x:v>
      </x:c>
      <x:c r="F190" s="25" t="n">
        <x:v>5.285449991066981</x:v>
      </x:c>
      <x:c r="G190" s="25" t="n">
        <x:v>135.37676499270543</x:v>
      </x:c>
      <x:c r="H190" s="26" t="n">
        <x:v>0.0029970029970029</x:v>
      </x:c>
      <x:c r="I190" s="26" t="n">
        <x:v>0.0150415622113735</x:v>
      </x:c>
      <x:c r="J190" s="27" t="b">
        <x:v>1</x:v>
      </x:c>
      <x:c r="K190" s="27" t="b">
        <x:v>0</x:v>
      </x:c>
      <x:c r="L190" s="24" t="b">
        <x:f>AND(J190,K190)</x:f>
        <x:v>0</x:v>
      </x:c>
      <x:c r="M190" s="29" t="b">
        <x:v>1</x:v>
      </x:c>
      <x:c r="N190" s="30" t="n">
        <x:v>0</x:v>
      </x:c>
      <x:c r="O190" s="31" t="n">
        <x:v>-0.51</x:v>
      </x:c>
      <x:c r="P190" s="31" t="n">
        <x:v>6.3829787234042</x:v>
      </x:c>
      <x:c r="Q190" s="31" t="n">
        <x:v>0.2660267641434384</x:v>
      </x:c>
      <x:c r="R190" s="31" t="n">
        <x:v>1</x:v>
      </x:c>
      <x:c r="S190" s="33" t="n">
        <x:f>IF(OR(G190="",P190=""),"",G190-P190)</x:f>
        <x:v>128.99378626930124</x:v>
      </x:c>
      <x:c r="T190" s="33" t="n">
        <x:f>IF(S190="","",ABS(S190))</x:f>
        <x:v>128.99378626930124</x:v>
      </x:c>
      <x:c r="U190" s="34" t="str">
        <x:f>IF(M190=FALSE,"Not analysed in paper",IF(K190=N190,"Significance agrees",IF(K190=TRUE,"User only","Paper only")))</x:f>
        <x:v>Significance agrees</x:v>
      </x:c>
      <x:c r="V190" s="34" t="str">
        <x:f>IF(M190=FALSE,"Not analysed in paper",IF(L190=FALSE,"User not reliable/significant",IF(N190=FALSE,"Paper not significant",IF(P190="","Exact paper latency unavailable",IF(T190&lt;=10,"Close (&lt;=10 ms)",IF(T190&lt;=20,"Similar (10-20 ms)","Different (&gt;20 ms)"))))))</x:f>
        <x:v>User not reliable/significant</x:v>
      </x:c>
      <x:c r="W190" s="37" t="b">
        <x:v>0</x:v>
      </x:c>
      <x:c r="X190" s="38"/>
      <x:c r="Y190" s="38"/>
      <x:c r="Z190" s="39"/>
      <x:c r="AA190" s="39" t="str">
        <x:f>IF(W190=FALSE,"Not explicitly reported in PDF",IF(AND(G190&gt;=X190,G190&lt;=Y190),"Within PDF value/range",IF(MIN(ABS(G190-X190),ABS(G190-Y190))&lt;=15,"Within 15 ms of PDF","Different from PDF")))</x:f>
        <x:v>Not explicitly reported in PDF</x:v>
      </x:c>
    </x:row>
    <x:row r="191">
      <x:c r="A191" s="20" t="str">
        <x:v>DR</x:v>
      </x:c>
      <x:c r="B191" s="20" t="str">
        <x:v>Dorsal nucleus raphe</x:v>
      </x:c>
      <x:c r="C191" s="20" t="str">
        <x:v>Midbrain</x:v>
      </x:c>
      <x:c r="D191" s="24" t="n">
        <x:v>2</x:v>
      </x:c>
      <x:c r="E191" s="24" t="n">
        <x:v>42</x:v>
      </x:c>
      <x:c r="F191" s="25" t="n">
        <x:v>2.7676638540435303</x:v>
      </x:c>
      <x:c r="G191" s="25" t="n">
        <x:v>44.24327234709638</x:v>
      </x:c>
      <x:c r="H191" s="26" t="n">
        <x:v>0.1388611388611388</x:v>
      </x:c>
      <x:c r="I191" s="26" t="n">
        <x:v>0.2601201615286122</x:v>
      </x:c>
      <x:c r="J191" s="27" t="b">
        <x:v>1</x:v>
      </x:c>
      <x:c r="K191" s="27" t="b">
        <x:v>0</x:v>
      </x:c>
      <x:c r="L191" s="24" t="b">
        <x:f>AND(J191,K191)</x:f>
        <x:v>0</x:v>
      </x:c>
      <x:c r="M191" s="29" t="b">
        <x:v>1</x:v>
      </x:c>
      <x:c r="N191" s="30" t="n">
        <x:v>0</x:v>
      </x:c>
      <x:c r="O191" s="31" t="n">
        <x:v>-0.56</x:v>
      </x:c>
      <x:c r="P191" s="31"/>
      <x:c r="Q191" s="31"/>
      <x:c r="R191" s="31"/>
      <x:c r="S191" s="33" t="str">
        <x:f>IF(OR(G191="",P191=""),"",G191-P191)</x:f>
      </x:c>
      <x:c r="T191" s="33" t="str">
        <x:f>IF(S191="","",ABS(S191))</x:f>
      </x:c>
      <x:c r="U191" s="34" t="str">
        <x:f>IF(M191=FALSE,"Not analysed in paper",IF(K191=N191,"Significance agrees",IF(K191=TRUE,"User only","Paper only")))</x:f>
        <x:v>Significance agrees</x:v>
      </x:c>
      <x:c r="V191" s="34" t="str">
        <x:f>IF(M191=FALSE,"Not analysed in paper",IF(L191=FALSE,"User not reliable/significant",IF(N191=FALSE,"Paper not significant",IF(P191="","Exact paper latency unavailable",IF(T191&lt;=10,"Close (&lt;=10 ms)",IF(T191&lt;=20,"Similar (10-20 ms)","Different (&gt;20 ms)"))))))</x:f>
        <x:v>User not reliable/significant</x:v>
      </x:c>
      <x:c r="W191" s="37" t="b">
        <x:v>0</x:v>
      </x:c>
      <x:c r="X191" s="38"/>
      <x:c r="Y191" s="38"/>
      <x:c r="Z191" s="39"/>
      <x:c r="AA191" s="39" t="str">
        <x:f>IF(W191=FALSE,"Not explicitly reported in PDF",IF(AND(G191&gt;=X191,G191&lt;=Y191),"Within PDF value/range",IF(MIN(ABS(G191-X191),ABS(G191-Y191))&lt;=15,"Within 15 ms of PDF","Different from PDF")))</x:f>
        <x:v>Not explicitly reported in PDF</x:v>
      </x:c>
    </x:row>
    <x:row r="192">
      <x:c r="A192" s="20" t="str">
        <x:v>DT</x:v>
      </x:c>
      <x:c r="B192" s="20" t="str">
        <x:v>Dorsal terminal nucleus of the accessory optic tract</x:v>
      </x:c>
      <x:c r="C192" s="20" t="str">
        <x:v>Midbrain</x:v>
      </x:c>
      <x:c r="D192" s="24" t="n">
        <x:v>2</x:v>
      </x:c>
      <x:c r="E192" s="24" t="n">
        <x:v>9</x:v>
      </x:c>
      <x:c r="F192" s="25" t="n">
        <x:v>3.640973373324092</x:v>
      </x:c>
      <x:c r="G192" s="25" t="n">
        <x:v>124.61684752201016</x:v>
      </x:c>
      <x:c r="H192" s="26" t="n">
        <x:v>0.1998001998001998</x:v>
      </x:c>
      <x:c r="I192" s="26" t="n">
        <x:v>0.3428829235280848</x:v>
      </x:c>
      <x:c r="J192" s="27" t="b">
        <x:v>0</x:v>
      </x:c>
      <x:c r="K192" s="27" t="b">
        <x:v>0</x:v>
      </x:c>
      <x:c r="L192" s="24" t="b">
        <x:f>AND(J192,K192)</x:f>
        <x:v>0</x:v>
      </x:c>
      <x:c r="M192" s="29" t="b">
        <x:v>0</x:v>
      </x:c>
      <x:c r="N192" s="30"/>
      <x:c r="O192" s="31"/>
      <x:c r="P192" s="31"/>
      <x:c r="Q192" s="31"/>
      <x:c r="R192" s="31"/>
      <x:c r="S192" s="33" t="str">
        <x:f>IF(OR(G192="",P192=""),"",G192-P192)</x:f>
      </x:c>
      <x:c r="T192" s="33" t="str">
        <x:f>IF(S192="","",ABS(S192))</x:f>
      </x:c>
      <x:c r="U192" s="34" t="str">
        <x:f>IF(M192=FALSE,"Not analysed in paper",IF(K192=N192,"Significance agrees",IF(K192=TRUE,"User only","Paper only")))</x:f>
        <x:v>Not analysed in paper</x:v>
      </x:c>
      <x:c r="V192" s="34" t="str">
        <x:f>IF(M192=FALSE,"Not analysed in paper",IF(L192=FALSE,"User not reliable/significant",IF(N192=FALSE,"Paper not significant",IF(P192="","Exact paper latency unavailable",IF(T192&lt;=10,"Close (&lt;=10 ms)",IF(T192&lt;=20,"Similar (10-20 ms)","Different (&gt;20 ms)"))))))</x:f>
        <x:v>Not analysed in paper</x:v>
      </x:c>
      <x:c r="W192" s="37" t="b">
        <x:v>0</x:v>
      </x:c>
      <x:c r="X192" s="38"/>
      <x:c r="Y192" s="38"/>
      <x:c r="Z192" s="39"/>
      <x:c r="AA192" s="39" t="str">
        <x:f>IF(W192=FALSE,"Not explicitly reported in PDF",IF(AND(G192&gt;=X192,G192&lt;=Y192),"Within PDF value/range",IF(MIN(ABS(G192-X192),ABS(G192-Y192))&lt;=15,"Within 15 ms of PDF","Different from PDF")))</x:f>
        <x:v>Not explicitly reported in PDF</x:v>
      </x:c>
    </x:row>
    <x:row r="193">
      <x:c r="A193" s="20" t="str">
        <x:v>IC</x:v>
      </x:c>
      <x:c r="B193" s="20" t="str">
        <x:v>Inferior colliculus</x:v>
      </x:c>
      <x:c r="C193" s="20" t="str">
        <x:v>Midbrain</x:v>
      </x:c>
      <x:c r="D193" s="24" t="n">
        <x:v>23</x:v>
      </x:c>
      <x:c r="E193" s="24" t="n">
        <x:v>458</x:v>
      </x:c>
      <x:c r="F193" s="25" t="n">
        <x:v>2.4048259454947605</x:v>
      </x:c>
      <x:c r="G193" s="25" t="n">
        <x:v>98.728188356734</x:v>
      </x:c>
      <x:c r="H193" s="26" t="n">
        <x:v>0.0919080919080919</x:v>
      </x:c>
      <x:c r="I193" s="26" t="n">
        <x:v>0.1909965034965035</x:v>
      </x:c>
      <x:c r="J193" s="27" t="b">
        <x:v>1</x:v>
      </x:c>
      <x:c r="K193" s="27" t="b">
        <x:v>0</x:v>
      </x:c>
      <x:c r="L193" s="24" t="b">
        <x:f>AND(J193,K193)</x:f>
        <x:v>0</x:v>
      </x:c>
      <x:c r="M193" s="29" t="b">
        <x:v>1</x:v>
      </x:c>
      <x:c r="N193" s="30" t="n">
        <x:v>1</x:v>
      </x:c>
      <x:c r="O193" s="31" t="n">
        <x:v>-0.64</x:v>
      </x:c>
      <x:c r="P193" s="31"/>
      <x:c r="Q193" s="31" t="n">
        <x:v>0.165637439968695</x:v>
      </x:c>
      <x:c r="R193" s="31" t="n">
        <x:v>0</x:v>
      </x:c>
      <x:c r="S193" s="33" t="str">
        <x:f>IF(OR(G193="",P193=""),"",G193-P193)</x:f>
      </x:c>
      <x:c r="T193" s="33" t="str">
        <x:f>IF(S193="","",ABS(S193))</x:f>
      </x:c>
      <x:c r="U193" s="34" t="str">
        <x:f>IF(M193=FALSE,"Not analysed in paper",IF(K193=N193,"Significance agrees",IF(K193=TRUE,"User only","Paper only")))</x:f>
        <x:v>Paper only</x:v>
      </x:c>
      <x:c r="V193" s="34" t="str">
        <x:f>IF(M193=FALSE,"Not analysed in paper",IF(L193=FALSE,"User not reliable/significant",IF(N193=FALSE,"Paper not significant",IF(P193="","Exact paper latency unavailable",IF(T193&lt;=10,"Close (&lt;=10 ms)",IF(T193&lt;=20,"Similar (10-20 ms)","Different (&gt;20 ms)"))))))</x:f>
        <x:v>User not reliable/significant</x:v>
      </x:c>
      <x:c r="W193" s="37" t="b">
        <x:v>0</x:v>
      </x:c>
      <x:c r="X193" s="38"/>
      <x:c r="Y193" s="38"/>
      <x:c r="Z193" s="39"/>
      <x:c r="AA193" s="39" t="str">
        <x:f>IF(W193=FALSE,"Not explicitly reported in PDF",IF(AND(G193&gt;=X193,G193&lt;=Y193),"Within PDF value/range",IF(MIN(ABS(G193-X193),ABS(G193-Y193))&lt;=15,"Within 15 ms of PDF","Different from PDF")))</x:f>
        <x:v>Not explicitly reported in PDF</x:v>
      </x:c>
    </x:row>
    <x:row r="194">
      <x:c r="A194" s="20" t="str">
        <x:v>IF</x:v>
      </x:c>
      <x:c r="B194" s="20" t="str">
        <x:v>Interfascicular nucleus raphe</x:v>
      </x:c>
      <x:c r="C194" s="20" t="str">
        <x:v>Midbrain</x:v>
      </x:c>
      <x:c r="D194" s="24" t="n">
        <x:v>1</x:v>
      </x:c>
      <x:c r="E194" s="24" t="n">
        <x:v>18</x:v>
      </x:c>
      <x:c r="F194" s="25" t="n">
        <x:v>12.455185447485842</x:v>
      </x:c>
      <x:c r="G194" s="25" t="n">
        <x:v>129.69198655025758</x:v>
      </x:c>
      <x:c r="H194" s="26" t="n">
        <x:v>0.0059940059940059</x:v>
      </x:c>
      <x:c r="I194" s="26" t="n">
        <x:v>0.0257162192646063</x:v>
      </x:c>
      <x:c r="J194" s="27" t="b">
        <x:v>0</x:v>
      </x:c>
      <x:c r="K194" s="27" t="b">
        <x:v>0</x:v>
      </x:c>
      <x:c r="L194" s="24" t="b">
        <x:f>AND(J194,K194)</x:f>
        <x:v>0</x:v>
      </x:c>
      <x:c r="M194" s="29" t="b">
        <x:v>0</x:v>
      </x:c>
      <x:c r="N194" s="30"/>
      <x:c r="O194" s="31"/>
      <x:c r="P194" s="31"/>
      <x:c r="Q194" s="31"/>
      <x:c r="R194" s="31"/>
      <x:c r="S194" s="33" t="str">
        <x:f>IF(OR(G194="",P194=""),"",G194-P194)</x:f>
      </x:c>
      <x:c r="T194" s="33" t="str">
        <x:f>IF(S194="","",ABS(S194))</x:f>
      </x:c>
      <x:c r="U194" s="34" t="str">
        <x:f>IF(M194=FALSE,"Not analysed in paper",IF(K194=N194,"Significance agrees",IF(K194=TRUE,"User only","Paper only")))</x:f>
        <x:v>Not analysed in paper</x:v>
      </x:c>
      <x:c r="V194" s="34" t="str">
        <x:f>IF(M194=FALSE,"Not analysed in paper",IF(L194=FALSE,"User not reliable/significant",IF(N194=FALSE,"Paper not significant",IF(P194="","Exact paper latency unavailable",IF(T194&lt;=10,"Close (&lt;=10 ms)",IF(T194&lt;=20,"Similar (10-20 ms)","Different (&gt;20 ms)"))))))</x:f>
        <x:v>Not analysed in paper</x:v>
      </x:c>
      <x:c r="W194" s="37" t="b">
        <x:v>0</x:v>
      </x:c>
      <x:c r="X194" s="38"/>
      <x:c r="Y194" s="38"/>
      <x:c r="Z194" s="39"/>
      <x:c r="AA194" s="39" t="str">
        <x:f>IF(W194=FALSE,"Not explicitly reported in PDF",IF(AND(G194&gt;=X194,G194&lt;=Y194),"Within PDF value/range",IF(MIN(ABS(G194-X194),ABS(G194-Y194))&lt;=15,"Within 15 ms of PDF","Different from PDF")))</x:f>
        <x:v>Not explicitly reported in PDF</x:v>
      </x:c>
    </x:row>
    <x:row r="195">
      <x:c r="A195" s="20" t="str">
        <x:v>III</x:v>
      </x:c>
      <x:c r="B195" s="20" t="str">
        <x:v>Oculomotor nucleus</x:v>
      </x:c>
      <x:c r="C195" s="20" t="str">
        <x:v>Midbrain</x:v>
      </x:c>
      <x:c r="D195" s="24" t="n">
        <x:v>3</x:v>
      </x:c>
      <x:c r="E195" s="24" t="n">
        <x:v>7</x:v>
      </x:c>
      <x:c r="F195" s="25" t="n">
        <x:v>8.49061472488318</x:v>
      </x:c>
      <x:c r="G195" s="25" t="n">
        <x:v>16.212089035179616</x:v>
      </x:c>
      <x:c r="H195" s="26" t="n">
        <x:v>0.0219780219780219</x:v>
      </x:c>
      <x:c r="I195" s="26" t="n">
        <x:v>0.0649572649572649</x:v>
      </x:c>
      <x:c r="J195" s="27" t="b">
        <x:v>0</x:v>
      </x:c>
      <x:c r="K195" s="27" t="b">
        <x:v>0</x:v>
      </x:c>
      <x:c r="L195" s="24" t="b">
        <x:f>AND(J195,K195)</x:f>
        <x:v>0</x:v>
      </x:c>
      <x:c r="M195" s="29" t="b">
        <x:v>0</x:v>
      </x:c>
      <x:c r="N195" s="30"/>
      <x:c r="O195" s="31"/>
      <x:c r="P195" s="31"/>
      <x:c r="Q195" s="31"/>
      <x:c r="R195" s="31"/>
      <x:c r="S195" s="33" t="str">
        <x:f>IF(OR(G195="",P195=""),"",G195-P195)</x:f>
      </x:c>
      <x:c r="T195" s="33" t="str">
        <x:f>IF(S195="","",ABS(S195))</x:f>
      </x:c>
      <x:c r="U195" s="34" t="str">
        <x:f>IF(M195=FALSE,"Not analysed in paper",IF(K195=N195,"Significance agrees",IF(K195=TRUE,"User only","Paper only")))</x:f>
        <x:v>Not analysed in paper</x:v>
      </x:c>
      <x:c r="V195" s="34" t="str">
        <x:f>IF(M195=FALSE,"Not analysed in paper",IF(L195=FALSE,"User not reliable/significant",IF(N195=FALSE,"Paper not significant",IF(P195="","Exact paper latency unavailable",IF(T195&lt;=10,"Close (&lt;=10 ms)",IF(T195&lt;=20,"Similar (10-20 ms)","Different (&gt;20 ms)"))))))</x:f>
        <x:v>Not analysed in paper</x:v>
      </x:c>
      <x:c r="W195" s="37" t="b">
        <x:v>0</x:v>
      </x:c>
      <x:c r="X195" s="38"/>
      <x:c r="Y195" s="38"/>
      <x:c r="Z195" s="39"/>
      <x:c r="AA195" s="39" t="str">
        <x:f>IF(W195=FALSE,"Not explicitly reported in PDF",IF(AND(G195&gt;=X195,G195&lt;=Y195),"Within PDF value/range",IF(MIN(ABS(G195-X195),ABS(G195-Y195))&lt;=15,"Within 15 ms of PDF","Different from PDF")))</x:f>
        <x:v>Not explicitly reported in PDF</x:v>
      </x:c>
    </x:row>
    <x:row r="196">
      <x:c r="A196" s="20" t="str">
        <x:v>IPN</x:v>
      </x:c>
      <x:c r="B196" s="20" t="str">
        <x:v>Interpeduncular nucleus</x:v>
      </x:c>
      <x:c r="C196" s="20" t="str">
        <x:v>Midbrain</x:v>
      </x:c>
      <x:c r="D196" s="24" t="n">
        <x:v>2</x:v>
      </x:c>
      <x:c r="E196" s="24" t="n">
        <x:v>10</x:v>
      </x:c>
      <x:c r="F196" s="25" t="n">
        <x:v>4.461305430291872</x:v>
      </x:c>
      <x:c r="G196" s="25" t="n">
        <x:v>67.45960087322878</x:v>
      </x:c>
      <x:c r="H196" s="26" t="n">
        <x:v>0.1968031968031968</x:v>
      </x:c>
      <x:c r="I196" s="26" t="n">
        <x:v>0.3421545774486951</x:v>
      </x:c>
      <x:c r="J196" s="27" t="b">
        <x:v>0</x:v>
      </x:c>
      <x:c r="K196" s="27" t="b">
        <x:v>0</x:v>
      </x:c>
      <x:c r="L196" s="24" t="b">
        <x:f>AND(J196,K196)</x:f>
        <x:v>0</x:v>
      </x:c>
      <x:c r="M196" s="29" t="b">
        <x:v>0</x:v>
      </x:c>
      <x:c r="N196" s="30"/>
      <x:c r="O196" s="31"/>
      <x:c r="P196" s="31"/>
      <x:c r="Q196" s="31"/>
      <x:c r="R196" s="31"/>
      <x:c r="S196" s="33" t="str">
        <x:f>IF(OR(G196="",P196=""),"",G196-P196)</x:f>
      </x:c>
      <x:c r="T196" s="33" t="str">
        <x:f>IF(S196="","",ABS(S196))</x:f>
      </x:c>
      <x:c r="U196" s="34" t="str">
        <x:f>IF(M196=FALSE,"Not analysed in paper",IF(K196=N196,"Significance agrees",IF(K196=TRUE,"User only","Paper only")))</x:f>
        <x:v>Not analysed in paper</x:v>
      </x:c>
      <x:c r="V196" s="34" t="str">
        <x:f>IF(M196=FALSE,"Not analysed in paper",IF(L196=FALSE,"User not reliable/significant",IF(N196=FALSE,"Paper not significant",IF(P196="","Exact paper latency unavailable",IF(T196&lt;=10,"Close (&lt;=10 ms)",IF(T196&lt;=20,"Similar (10-20 ms)","Different (&gt;20 ms)"))))))</x:f>
        <x:v>Not analysed in paper</x:v>
      </x:c>
      <x:c r="W196" s="37" t="b">
        <x:v>0</x:v>
      </x:c>
      <x:c r="X196" s="38"/>
      <x:c r="Y196" s="38"/>
      <x:c r="Z196" s="39"/>
      <x:c r="AA196" s="39" t="str">
        <x:f>IF(W196=FALSE,"Not explicitly reported in PDF",IF(AND(G196&gt;=X196,G196&lt;=Y196),"Within PDF value/range",IF(MIN(ABS(G196-X196),ABS(G196-Y196))&lt;=15,"Within 15 ms of PDF","Different from PDF")))</x:f>
        <x:v>Not explicitly reported in PDF</x:v>
      </x:c>
    </x:row>
    <x:row r="197">
      <x:c r="A197" s="20" t="str">
        <x:v>MRN</x:v>
      </x:c>
      <x:c r="B197" s="20" t="str">
        <x:v>Midbrain reticular nucleus</x:v>
      </x:c>
      <x:c r="C197" s="20" t="str">
        <x:v>Midbrain</x:v>
      </x:c>
      <x:c r="D197" s="24" t="n">
        <x:v>128</x:v>
      </x:c>
      <x:c r="E197" s="24" t="n">
        <x:v>2678</x:v>
      </x:c>
      <x:c r="F197" s="25" t="n">
        <x:v>8.339588390663248</x:v>
      </x:c>
      <x:c r="G197" s="25" t="n">
        <x:v>107.94296935678928</x:v>
      </x:c>
      <x:c r="H197" s="26" t="n">
        <x:v>0.0009990009990009</x:v>
      </x:c>
      <x:c r="I197" s="26" t="n">
        <x:v>0.0066433566433566</x:v>
      </x:c>
      <x:c r="J197" s="27" t="b">
        <x:v>1</x:v>
      </x:c>
      <x:c r="K197" s="27" t="b">
        <x:v>1</x:v>
      </x:c>
      <x:c r="L197" s="24" t="b">
        <x:f>AND(J197,K197)</x:f>
        <x:v>1</x:v>
      </x:c>
      <x:c r="M197" s="29" t="b">
        <x:v>1</x:v>
      </x:c>
      <x:c r="N197" s="30" t="n">
        <x:v>1</x:v>
      </x:c>
      <x:c r="O197" s="31" t="n">
        <x:v>-0.2</x:v>
      </x:c>
      <x:c r="P197" s="31" t="n">
        <x:v>78.7234042553191</x:v>
      </x:c>
      <x:c r="Q197" s="31" t="n">
        <x:v>0.6534734633393042</x:v>
      </x:c>
      <x:c r="R197" s="31" t="n">
        <x:v>1</x:v>
      </x:c>
      <x:c r="S197" s="33" t="n">
        <x:f>IF(OR(G197="",P197=""),"",G197-P197)</x:f>
        <x:v>29.21956510147018</x:v>
      </x:c>
      <x:c r="T197" s="33" t="n">
        <x:f>IF(S197="","",ABS(S197))</x:f>
        <x:v>29.21956510147018</x:v>
      </x:c>
      <x:c r="U197" s="34" t="str">
        <x:f>IF(M197=FALSE,"Not analysed in paper",IF(K197=N197,"Significance agrees",IF(K197=TRUE,"User only","Paper only")))</x:f>
        <x:v>Significance agrees</x:v>
      </x:c>
      <x:c r="V197" s="34" t="str">
        <x:f>IF(M197=FALSE,"Not analysed in paper",IF(L197=FALSE,"User not reliable/significant",IF(N197=FALSE,"Paper not significant",IF(P197="","Exact paper latency unavailable",IF(T197&lt;=10,"Close (&lt;=10 ms)",IF(T197&lt;=20,"Similar (10-20 ms)","Different (&gt;20 ms)"))))))</x:f>
        <x:v>Different (&gt;20 ms)</x:v>
      </x:c>
      <x:c r="W197" s="37" t="b">
        <x:v>1</x:v>
      </x:c>
      <x:c r="X197" s="38" t="n">
        <x:v>100</x:v>
      </x:c>
      <x:c r="Y197" s="38" t="n">
        <x:v>120</x:v>
      </x:c>
      <x:c r="Z197" s="39" t="str">
        <x:v>approximately 100-120 ms</x:v>
      </x:c>
      <x:c r="AA197" s="39" t="str">
        <x:f>IF(W197=FALSE,"Not explicitly reported in PDF",IF(AND(G197&gt;=X197,G197&lt;=Y197),"Within PDF value/range",IF(MIN(ABS(G197-X197),ABS(G197-Y197))&lt;=15,"Within 15 ms of PDF","Different from PDF")))</x:f>
        <x:v>Within PDF value/range</x:v>
      </x:c>
    </x:row>
    <x:row r="198">
      <x:c r="A198" s="20" t="str">
        <x:v>NB</x:v>
      </x:c>
      <x:c r="B198" s="20" t="str">
        <x:v>Nucleus of the brachium of the inferior colliculus</x:v>
      </x:c>
      <x:c r="C198" s="20" t="str">
        <x:v>Midbrain</x:v>
      </x:c>
      <x:c r="D198" s="24" t="n">
        <x:v>4</x:v>
      </x:c>
      <x:c r="E198" s="24" t="n">
        <x:v>23</x:v>
      </x:c>
      <x:c r="F198" s="25" t="n">
        <x:v>7.391691213930212</x:v>
      </x:c>
      <x:c r="G198" s="25" t="n">
        <x:v>51.88807948851842</x:v>
      </x:c>
      <x:c r="H198" s="26" t="n">
        <x:v>0.0229770229770229</x:v>
      </x:c>
      <x:c r="I198" s="26" t="n">
        <x:v>0.0664335664335664</x:v>
      </x:c>
      <x:c r="J198" s="27" t="b">
        <x:v>1</x:v>
      </x:c>
      <x:c r="K198" s="27" t="b">
        <x:v>0</x:v>
      </x:c>
      <x:c r="L198" s="24" t="b">
        <x:f>AND(J198,K198)</x:f>
        <x:v>0</x:v>
      </x:c>
      <x:c r="M198" s="29" t="b">
        <x:v>1</x:v>
      </x:c>
      <x:c r="N198" s="30" t="n">
        <x:v>1</x:v>
      </x:c>
      <x:c r="O198" s="31" t="n">
        <x:v>-0.01</x:v>
      </x:c>
      <x:c r="P198" s="31"/>
      <x:c r="Q198" s="31"/>
      <x:c r="R198" s="31"/>
      <x:c r="S198" s="33" t="str">
        <x:f>IF(OR(G198="",P198=""),"",G198-P198)</x:f>
      </x:c>
      <x:c r="T198" s="33" t="str">
        <x:f>IF(S198="","",ABS(S198))</x:f>
      </x:c>
      <x:c r="U198" s="34" t="str">
        <x:f>IF(M198=FALSE,"Not analysed in paper",IF(K198=N198,"Significance agrees",IF(K198=TRUE,"User only","Paper only")))</x:f>
        <x:v>Paper only</x:v>
      </x:c>
      <x:c r="V198" s="34" t="str">
        <x:f>IF(M198=FALSE,"Not analysed in paper",IF(L198=FALSE,"User not reliable/significant",IF(N198=FALSE,"Paper not significant",IF(P198="","Exact paper latency unavailable",IF(T198&lt;=10,"Close (&lt;=10 ms)",IF(T198&lt;=20,"Similar (10-20 ms)","Different (&gt;20 ms)"))))))</x:f>
        <x:v>User not reliable/significant</x:v>
      </x:c>
      <x:c r="W198" s="37" t="b">
        <x:v>0</x:v>
      </x:c>
      <x:c r="X198" s="38"/>
      <x:c r="Y198" s="38"/>
      <x:c r="Z198" s="39"/>
      <x:c r="AA198" s="39" t="str">
        <x:f>IF(W198=FALSE,"Not explicitly reported in PDF",IF(AND(G198&gt;=X198,G198&lt;=Y198),"Within PDF value/range",IF(MIN(ABS(G198-X198),ABS(G198-Y198))&lt;=15,"Within 15 ms of PDF","Different from PDF")))</x:f>
        <x:v>Not explicitly reported in PDF</x:v>
      </x:c>
    </x:row>
    <x:row r="199">
      <x:c r="A199" s="20" t="str">
        <x:v>NOT</x:v>
      </x:c>
      <x:c r="B199" s="20" t="str">
        <x:v>Nucleus of the optic tract</x:v>
      </x:c>
      <x:c r="C199" s="20" t="str">
        <x:v>Midbrain</x:v>
      </x:c>
      <x:c r="D199" s="24" t="n">
        <x:v>21</x:v>
      </x:c>
      <x:c r="E199" s="24" t="n">
        <x:v>92</x:v>
      </x:c>
      <x:c r="F199" s="25" t="n">
        <x:v>6.462915296960579</x:v>
      </x:c>
      <x:c r="G199" s="25" t="n">
        <x:v>45.23346145359106</x:v>
      </x:c>
      <x:c r="H199" s="26" t="n">
        <x:v>0.0009990009990009</x:v>
      </x:c>
      <x:c r="I199" s="26" t="n">
        <x:v>0.0066433566433566</x:v>
      </x:c>
      <x:c r="J199" s="27" t="b">
        <x:v>1</x:v>
      </x:c>
      <x:c r="K199" s="27" t="b">
        <x:v>1</x:v>
      </x:c>
      <x:c r="L199" s="24" t="b">
        <x:f>AND(J199,K199)</x:f>
        <x:v>1</x:v>
      </x:c>
      <x:c r="M199" s="29" t="b">
        <x:v>1</x:v>
      </x:c>
      <x:c r="N199" s="30" t="n">
        <x:v>1</x:v>
      </x:c>
      <x:c r="O199" s="31" t="n">
        <x:v>-0.04</x:v>
      </x:c>
      <x:c r="P199" s="31"/>
      <x:c r="Q199" s="31"/>
      <x:c r="R199" s="31"/>
      <x:c r="S199" s="33" t="str">
        <x:f>IF(OR(G199="",P199=""),"",G199-P199)</x:f>
      </x:c>
      <x:c r="T199" s="33" t="str">
        <x:f>IF(S199="","",ABS(S199))</x:f>
      </x:c>
      <x:c r="U199" s="34" t="str">
        <x:f>IF(M199=FALSE,"Not analysed in paper",IF(K199=N199,"Significance agrees",IF(K199=TRUE,"User only","Paper only")))</x:f>
        <x:v>Significance agrees</x:v>
      </x:c>
      <x:c r="V199" s="34" t="str">
        <x:f>IF(M199=FALSE,"Not analysed in paper",IF(L199=FALSE,"User not reliable/significant",IF(N199=FALSE,"Paper not significant",IF(P199="","Exact paper latency unavailable",IF(T199&lt;=10,"Close (&lt;=10 ms)",IF(T199&lt;=20,"Similar (10-20 ms)","Different (&gt;20 ms)"))))))</x:f>
        <x:v>Exact paper latency unavailable</x:v>
      </x:c>
      <x:c r="W199" s="37" t="b">
        <x:v>0</x:v>
      </x:c>
      <x:c r="X199" s="38"/>
      <x:c r="Y199" s="38"/>
      <x:c r="Z199" s="39"/>
      <x:c r="AA199" s="39" t="str">
        <x:f>IF(W199=FALSE,"Not explicitly reported in PDF",IF(AND(G199&gt;=X199,G199&lt;=Y199),"Within PDF value/range",IF(MIN(ABS(G199-X199),ABS(G199-Y199))&lt;=15,"Within 15 ms of PDF","Different from PDF")))</x:f>
        <x:v>Not explicitly reported in PDF</x:v>
      </x:c>
    </x:row>
    <x:row r="200">
      <x:c r="A200" s="20" t="str">
        <x:v>NPC</x:v>
      </x:c>
      <x:c r="B200" s="20" t="str">
        <x:v>Nucleus of the posterior commissure</x:v>
      </x:c>
      <x:c r="C200" s="20" t="str">
        <x:v>Midbrain</x:v>
      </x:c>
      <x:c r="D200" s="24" t="n">
        <x:v>12</x:v>
      </x:c>
      <x:c r="E200" s="24" t="n">
        <x:v>71</x:v>
      </x:c>
      <x:c r="F200" s="25" t="n">
        <x:v>7.159619150558562</x:v>
      </x:c>
      <x:c r="G200" s="25" t="n">
        <x:v>117.32177507635572</x:v>
      </x:c>
      <x:c r="H200" s="26" t="n">
        <x:v>0.0249750249750249</x:v>
      </x:c>
      <x:c r="I200" s="26" t="n">
        <x:v>0.0706740068442196</x:v>
      </x:c>
      <x:c r="J200" s="27" t="b">
        <x:v>1</x:v>
      </x:c>
      <x:c r="K200" s="27" t="b">
        <x:v>0</x:v>
      </x:c>
      <x:c r="L200" s="24" t="b">
        <x:f>AND(J200,K200)</x:f>
        <x:v>0</x:v>
      </x:c>
      <x:c r="M200" s="29" t="b">
        <x:v>1</x:v>
      </x:c>
      <x:c r="N200" s="30" t="n">
        <x:v>1</x:v>
      </x:c>
      <x:c r="O200" s="31" t="n">
        <x:v>-0.24</x:v>
      </x:c>
      <x:c r="P200" s="31"/>
      <x:c r="Q200" s="31"/>
      <x:c r="R200" s="31"/>
      <x:c r="S200" s="33" t="str">
        <x:f>IF(OR(G200="",P200=""),"",G200-P200)</x:f>
      </x:c>
      <x:c r="T200" s="33" t="str">
        <x:f>IF(S200="","",ABS(S200))</x:f>
      </x:c>
      <x:c r="U200" s="34" t="str">
        <x:f>IF(M200=FALSE,"Not analysed in paper",IF(K200=N200,"Significance agrees",IF(K200=TRUE,"User only","Paper only")))</x:f>
        <x:v>Paper only</x:v>
      </x:c>
      <x:c r="V200" s="34" t="str">
        <x:f>IF(M200=FALSE,"Not analysed in paper",IF(L200=FALSE,"User not reliable/significant",IF(N200=FALSE,"Paper not significant",IF(P200="","Exact paper latency unavailable",IF(T200&lt;=10,"Close (&lt;=10 ms)",IF(T200&lt;=20,"Similar (10-20 ms)","Different (&gt;20 ms)"))))))</x:f>
        <x:v>User not reliable/significant</x:v>
      </x:c>
      <x:c r="W200" s="37" t="b">
        <x:v>0</x:v>
      </x:c>
      <x:c r="X200" s="38"/>
      <x:c r="Y200" s="38"/>
      <x:c r="Z200" s="39"/>
      <x:c r="AA200" s="39" t="str">
        <x:f>IF(W200=FALSE,"Not explicitly reported in PDF",IF(AND(G200&gt;=X200,G200&lt;=Y200),"Within PDF value/range",IF(MIN(ABS(G200-X200),ABS(G200-Y200))&lt;=15,"Within 15 ms of PDF","Different from PDF")))</x:f>
        <x:v>Not explicitly reported in PDF</x:v>
      </x:c>
    </x:row>
    <x:row r="201">
      <x:c r="A201" s="20" t="str">
        <x:v>OP</x:v>
      </x:c>
      <x:c r="B201" s="20" t="str">
        <x:v>Olivary pretectal nucleus</x:v>
      </x:c>
      <x:c r="C201" s="20" t="str">
        <x:v>Midbrain</x:v>
      </x:c>
      <x:c r="D201" s="24" t="n">
        <x:v>5</x:v>
      </x:c>
      <x:c r="E201" s="24" t="n">
        <x:v>39</x:v>
      </x:c>
      <x:c r="F201" s="25" t="n">
        <x:v>8.153922794418996</x:v>
      </x:c>
      <x:c r="G201" s="25" t="n">
        <x:v>49.38959010142936</x:v>
      </x:c>
      <x:c r="H201" s="26" t="n">
        <x:v>0.0059940059940059</x:v>
      </x:c>
      <x:c r="I201" s="26" t="n">
        <x:v>0.0257162192646063</x:v>
      </x:c>
      <x:c r="J201" s="27" t="b">
        <x:v>1</x:v>
      </x:c>
      <x:c r="K201" s="27" t="b">
        <x:v>0</x:v>
      </x:c>
      <x:c r="L201" s="24" t="b">
        <x:f>AND(J201,K201)</x:f>
        <x:v>0</x:v>
      </x:c>
      <x:c r="M201" s="29" t="b">
        <x:v>1</x:v>
      </x:c>
      <x:c r="N201" s="30" t="n">
        <x:v>1</x:v>
      </x:c>
      <x:c r="O201" s="31" t="n">
        <x:v>-0.03</x:v>
      </x:c>
      <x:c r="P201" s="31"/>
      <x:c r="Q201" s="31"/>
      <x:c r="R201" s="31"/>
      <x:c r="S201" s="33" t="str">
        <x:f>IF(OR(G201="",P201=""),"",G201-P201)</x:f>
      </x:c>
      <x:c r="T201" s="33" t="str">
        <x:f>IF(S201="","",ABS(S201))</x:f>
      </x:c>
      <x:c r="U201" s="34" t="str">
        <x:f>IF(M201=FALSE,"Not analysed in paper",IF(K201=N201,"Significance agrees",IF(K201=TRUE,"User only","Paper only")))</x:f>
        <x:v>Paper only</x:v>
      </x:c>
      <x:c r="V201" s="34" t="str">
        <x:f>IF(M201=FALSE,"Not analysed in paper",IF(L201=FALSE,"User not reliable/significant",IF(N201=FALSE,"Paper not significant",IF(P201="","Exact paper latency unavailable",IF(T201&lt;=10,"Close (&lt;=10 ms)",IF(T201&lt;=20,"Similar (10-20 ms)","Different (&gt;20 ms)"))))))</x:f>
        <x:v>User not reliable/significant</x:v>
      </x:c>
      <x:c r="W201" s="37" t="b">
        <x:v>0</x:v>
      </x:c>
      <x:c r="X201" s="38"/>
      <x:c r="Y201" s="38"/>
      <x:c r="Z201" s="39"/>
      <x:c r="AA201" s="39" t="str">
        <x:f>IF(W201=FALSE,"Not explicitly reported in PDF",IF(AND(G201&gt;=X201,G201&lt;=Y201),"Within PDF value/range",IF(MIN(ABS(G201-X201),ABS(G201-Y201))&lt;=15,"Within 15 ms of PDF","Different from PDF")))</x:f>
        <x:v>Not explicitly reported in PDF</x:v>
      </x:c>
    </x:row>
    <x:row r="202">
      <x:c r="A202" s="20" t="str">
        <x:v>PAG</x:v>
      </x:c>
      <x:c r="B202" s="20" t="str">
        <x:v>Periaqueductal gray</x:v>
      </x:c>
      <x:c r="C202" s="20" t="str">
        <x:v>Midbrain</x:v>
      </x:c>
      <x:c r="D202" s="24" t="n">
        <x:v>50</x:v>
      </x:c>
      <x:c r="E202" s="24" t="n">
        <x:v>733</x:v>
      </x:c>
      <x:c r="F202" s="25" t="n">
        <x:v>2.740601668822335</x:v>
      </x:c>
      <x:c r="G202" s="25" t="n">
        <x:v>101.17336139062796</x:v>
      </x:c>
      <x:c r="H202" s="26" t="n">
        <x:v>0.0009990009990009</x:v>
      </x:c>
      <x:c r="I202" s="26" t="n">
        <x:v>0.0066433566433566</x:v>
      </x:c>
      <x:c r="J202" s="27" t="b">
        <x:v>1</x:v>
      </x:c>
      <x:c r="K202" s="27" t="b">
        <x:v>1</x:v>
      </x:c>
      <x:c r="L202" s="24" t="b">
        <x:f>AND(J202,K202)</x:f>
        <x:v>1</x:v>
      </x:c>
      <x:c r="M202" s="29" t="b">
        <x:v>1</x:v>
      </x:c>
      <x:c r="N202" s="30" t="n">
        <x:v>1</x:v>
      </x:c>
      <x:c r="O202" s="31" t="n">
        <x:v>-0.63</x:v>
      </x:c>
      <x:c r="P202" s="31" t="n">
        <x:v>85.1063829787234</x:v>
      </x:c>
      <x:c r="Q202" s="31" t="n">
        <x:v>0.2310559493982268</x:v>
      </x:c>
      <x:c r="R202" s="31" t="n">
        <x:v>1</x:v>
      </x:c>
      <x:c r="S202" s="33" t="n">
        <x:f>IF(OR(G202="",P202=""),"",G202-P202)</x:f>
        <x:v>16.066978411904557</x:v>
      </x:c>
      <x:c r="T202" s="33" t="n">
        <x:f>IF(S202="","",ABS(S202))</x:f>
        <x:v>16.066978411904557</x:v>
      </x:c>
      <x:c r="U202" s="34" t="str">
        <x:f>IF(M202=FALSE,"Not analysed in paper",IF(K202=N202,"Significance agrees",IF(K202=TRUE,"User only","Paper only")))</x:f>
        <x:v>Significance agrees</x:v>
      </x:c>
      <x:c r="V202" s="34" t="str">
        <x:f>IF(M202=FALSE,"Not analysed in paper",IF(L202=FALSE,"User not reliable/significant",IF(N202=FALSE,"Paper not significant",IF(P202="","Exact paper latency unavailable",IF(T202&lt;=10,"Close (&lt;=10 ms)",IF(T202&lt;=20,"Similar (10-20 ms)","Different (&gt;20 ms)"))))))</x:f>
        <x:v>Similar (10-20 ms)</x:v>
      </x:c>
      <x:c r="W202" s="37" t="b">
        <x:v>0</x:v>
      </x:c>
      <x:c r="X202" s="38"/>
      <x:c r="Y202" s="38"/>
      <x:c r="Z202" s="39"/>
      <x:c r="AA202" s="39" t="str">
        <x:f>IF(W202=FALSE,"Not explicitly reported in PDF",IF(AND(G202&gt;=X202,G202&lt;=Y202),"Within PDF value/range",IF(MIN(ABS(G202-X202),ABS(G202-Y202))&lt;=15,"Within 15 ms of PDF","Different from PDF")))</x:f>
        <x:v>Not explicitly reported in PDF</x:v>
      </x:c>
    </x:row>
    <x:row r="203">
      <x:c r="A203" s="20" t="str">
        <x:v>PBG</x:v>
      </x:c>
      <x:c r="B203" s="20" t="str">
        <x:v>Parabigeminal nucleus</x:v>
      </x:c>
      <x:c r="C203" s="20" t="str">
        <x:v>Midbrain</x:v>
      </x:c>
      <x:c r="D203" s="24" t="n">
        <x:v>3</x:v>
      </x:c>
      <x:c r="E203" s="24" t="n">
        <x:v>14</x:v>
      </x:c>
      <x:c r="F203" s="25" t="n">
        <x:v>11.716496550630191</x:v>
      </x:c>
      <x:c r="G203" s="25" t="n">
        <x:v>43.73173526064239</x:v>
      </x:c>
      <x:c r="H203" s="26" t="n">
        <x:v>0.0109890109890109</x:v>
      </x:c>
      <x:c r="I203" s="26" t="n">
        <x:v>0.0405982905982906</x:v>
      </x:c>
      <x:c r="J203" s="27" t="b">
        <x:v>0</x:v>
      </x:c>
      <x:c r="K203" s="27" t="b">
        <x:v>0</x:v>
      </x:c>
      <x:c r="L203" s="24" t="b">
        <x:f>AND(J203,K203)</x:f>
        <x:v>0</x:v>
      </x:c>
      <x:c r="M203" s="29" t="b">
        <x:v>0</x:v>
      </x:c>
      <x:c r="N203" s="30"/>
      <x:c r="O203" s="31"/>
      <x:c r="P203" s="31"/>
      <x:c r="Q203" s="31"/>
      <x:c r="R203" s="31"/>
      <x:c r="S203" s="33" t="str">
        <x:f>IF(OR(G203="",P203=""),"",G203-P203)</x:f>
      </x:c>
      <x:c r="T203" s="33" t="str">
        <x:f>IF(S203="","",ABS(S203))</x:f>
      </x:c>
      <x:c r="U203" s="34" t="str">
        <x:f>IF(M203=FALSE,"Not analysed in paper",IF(K203=N203,"Significance agrees",IF(K203=TRUE,"User only","Paper only")))</x:f>
        <x:v>Not analysed in paper</x:v>
      </x:c>
      <x:c r="V203" s="34" t="str">
        <x:f>IF(M203=FALSE,"Not analysed in paper",IF(L203=FALSE,"User not reliable/significant",IF(N203=FALSE,"Paper not significant",IF(P203="","Exact paper latency unavailable",IF(T203&lt;=10,"Close (&lt;=10 ms)",IF(T203&lt;=20,"Similar (10-20 ms)","Different (&gt;20 ms)"))))))</x:f>
        <x:v>Not analysed in paper</x:v>
      </x:c>
      <x:c r="W203" s="37" t="b">
        <x:v>0</x:v>
      </x:c>
      <x:c r="X203" s="38"/>
      <x:c r="Y203" s="38"/>
      <x:c r="Z203" s="39"/>
      <x:c r="AA203" s="39" t="str">
        <x:f>IF(W203=FALSE,"Not explicitly reported in PDF",IF(AND(G203&gt;=X203,G203&lt;=Y203),"Within PDF value/range",IF(MIN(ABS(G203-X203),ABS(G203-Y203))&lt;=15,"Within 15 ms of PDF","Different from PDF")))</x:f>
        <x:v>Not explicitly reported in PDF</x:v>
      </x:c>
    </x:row>
    <x:row r="204">
      <x:c r="A204" s="20" t="str">
        <x:v>PPN</x:v>
      </x:c>
      <x:c r="B204" s="20" t="str">
        <x:v>Pedunculopontine nucleus</x:v>
      </x:c>
      <x:c r="C204" s="20" t="str">
        <x:v>Midbrain</x:v>
      </x:c>
      <x:c r="D204" s="24" t="n">
        <x:v>19</x:v>
      </x:c>
      <x:c r="E204" s="24" t="n">
        <x:v>369</x:v>
      </x:c>
      <x:c r="F204" s="25" t="n">
        <x:v>4.52591561816188</x:v>
      </x:c>
      <x:c r="G204" s="25" t="n">
        <x:v>127.73737319364908</x:v>
      </x:c>
      <x:c r="H204" s="26" t="n">
        <x:v>0.0009990009990009</x:v>
      </x:c>
      <x:c r="I204" s="26" t="n">
        <x:v>0.0066433566433566</x:v>
      </x:c>
      <x:c r="J204" s="27" t="b">
        <x:v>1</x:v>
      </x:c>
      <x:c r="K204" s="27" t="b">
        <x:v>1</x:v>
      </x:c>
      <x:c r="L204" s="24" t="b">
        <x:f>AND(J204,K204)</x:f>
        <x:v>1</x:v>
      </x:c>
      <x:c r="M204" s="29" t="b">
        <x:v>1</x:v>
      </x:c>
      <x:c r="N204" s="30" t="n">
        <x:v>1</x:v>
      </x:c>
      <x:c r="O204" s="31" t="n">
        <x:v>-0.8</x:v>
      </x:c>
      <x:c r="P204" s="31" t="n">
        <x:v>85.1063829787234</x:v>
      </x:c>
      <x:c r="Q204" s="31" t="n">
        <x:v>0.2293722180504122</x:v>
      </x:c>
      <x:c r="R204" s="31" t="n">
        <x:v>1</x:v>
      </x:c>
      <x:c r="S204" s="33" t="n">
        <x:f>IF(OR(G204="",P204=""),"",G204-P204)</x:f>
        <x:v>42.630990214925674</x:v>
      </x:c>
      <x:c r="T204" s="33" t="n">
        <x:f>IF(S204="","",ABS(S204))</x:f>
        <x:v>42.630990214925674</x:v>
      </x:c>
      <x:c r="U204" s="34" t="str">
        <x:f>IF(M204=FALSE,"Not analysed in paper",IF(K204=N204,"Significance agrees",IF(K204=TRUE,"User only","Paper only")))</x:f>
        <x:v>Significance agrees</x:v>
      </x:c>
      <x:c r="V204" s="34" t="str">
        <x:f>IF(M204=FALSE,"Not analysed in paper",IF(L204=FALSE,"User not reliable/significant",IF(N204=FALSE,"Paper not significant",IF(P204="","Exact paper latency unavailable",IF(T204&lt;=10,"Close (&lt;=10 ms)",IF(T204&lt;=20,"Similar (10-20 ms)","Different (&gt;20 ms)"))))))</x:f>
        <x:v>Different (&gt;20 ms)</x:v>
      </x:c>
      <x:c r="W204" s="37" t="b">
        <x:v>0</x:v>
      </x:c>
      <x:c r="X204" s="38"/>
      <x:c r="Y204" s="38"/>
      <x:c r="Z204" s="39"/>
      <x:c r="AA204" s="39" t="str">
        <x:f>IF(W204=FALSE,"Not explicitly reported in PDF",IF(AND(G204&gt;=X204,G204&lt;=Y204),"Within PDF value/range",IF(MIN(ABS(G204-X204),ABS(G204-Y204))&lt;=15,"Within 15 ms of PDF","Different from PDF")))</x:f>
        <x:v>Not explicitly reported in PDF</x:v>
      </x:c>
    </x:row>
    <x:row r="205">
      <x:c r="A205" s="20" t="str">
        <x:v>PPT</x:v>
      </x:c>
      <x:c r="B205" s="20" t="str">
        <x:v>Posterior pretectal nucleus</x:v>
      </x:c>
      <x:c r="C205" s="20" t="str">
        <x:v>Midbrain</x:v>
      </x:c>
      <x:c r="D205" s="24" t="n">
        <x:v>12</x:v>
      </x:c>
      <x:c r="E205" s="24" t="n">
        <x:v>70</x:v>
      </x:c>
      <x:c r="F205" s="25" t="n">
        <x:v>5.790304731505114</x:v>
      </x:c>
      <x:c r="G205" s="25" t="n">
        <x:v>49.04455735505068</x:v>
      </x:c>
      <x:c r="H205" s="26" t="n">
        <x:v>0.2457542457542457</x:v>
      </x:c>
      <x:c r="I205" s="26" t="n">
        <x:v>0.3937989721122251</x:v>
      </x:c>
      <x:c r="J205" s="27" t="b">
        <x:v>1</x:v>
      </x:c>
      <x:c r="K205" s="27" t="b">
        <x:v>0</x:v>
      </x:c>
      <x:c r="L205" s="24" t="b">
        <x:f>AND(J205,K205)</x:f>
        <x:v>0</x:v>
      </x:c>
      <x:c r="M205" s="29" t="b">
        <x:v>1</x:v>
      </x:c>
      <x:c r="N205" s="30" t="n">
        <x:v>1</x:v>
      </x:c>
      <x:c r="O205" s="31" t="n">
        <x:v>-0.11</x:v>
      </x:c>
      <x:c r="P205" s="31" t="n">
        <x:v>48.9361702127659</x:v>
      </x:c>
      <x:c r="Q205" s="31" t="n">
        <x:v>0.8452202760162457</x:v>
      </x:c>
      <x:c r="R205" s="31" t="n">
        <x:v>1</x:v>
      </x:c>
      <x:c r="S205" s="33" t="n">
        <x:f>IF(OR(G205="",P205=""),"",G205-P205)</x:f>
        <x:v>0.10838714228477642</x:v>
      </x:c>
      <x:c r="T205" s="33" t="n">
        <x:f>IF(S205="","",ABS(S205))</x:f>
        <x:v>0.10838714228477642</x:v>
      </x:c>
      <x:c r="U205" s="34" t="str">
        <x:f>IF(M205=FALSE,"Not analysed in paper",IF(K205=N205,"Significance agrees",IF(K205=TRUE,"User only","Paper only")))</x:f>
        <x:v>Paper only</x:v>
      </x:c>
      <x:c r="V205" s="34" t="str">
        <x:f>IF(M205=FALSE,"Not analysed in paper",IF(L205=FALSE,"User not reliable/significant",IF(N205=FALSE,"Paper not significant",IF(P205="","Exact paper latency unavailable",IF(T205&lt;=10,"Close (&lt;=10 ms)",IF(T205&lt;=20,"Similar (10-20 ms)","Different (&gt;20 ms)"))))))</x:f>
        <x:v>User not reliable/significant</x:v>
      </x:c>
      <x:c r="W205" s="37" t="b">
        <x:v>0</x:v>
      </x:c>
      <x:c r="X205" s="38"/>
      <x:c r="Y205" s="38"/>
      <x:c r="Z205" s="39"/>
      <x:c r="AA205" s="39" t="str">
        <x:f>IF(W205=FALSE,"Not explicitly reported in PDF",IF(AND(G205&gt;=X205,G205&lt;=Y205),"Within PDF value/range",IF(MIN(ABS(G205-X205),ABS(G205-Y205))&lt;=15,"Within 15 ms of PDF","Different from PDF")))</x:f>
        <x:v>Not explicitly reported in PDF</x:v>
      </x:c>
    </x:row>
    <x:row r="206">
      <x:c r="A206" s="20" t="str">
        <x:v>Pa4</x:v>
      </x:c>
      <x:c r="B206" s="20" t="str">
        <x:v>Paratrochlear nucleus</x:v>
      </x:c>
      <x:c r="C206" s="20" t="str">
        <x:v>Midbrain</x:v>
      </x:c>
      <x:c r="D206" s="24" t="n">
        <x:v>1</x:v>
      </x:c>
      <x:c r="E206" s="24" t="n">
        <x:v>3</x:v>
      </x:c>
      <x:c r="F206" s="25" t="n">
        <x:v>10.553344607125164</x:v>
      </x:c>
      <x:c r="G206" s="25" t="n">
        <x:v>115.65158218905977</x:v>
      </x:c>
      <x:c r="H206" s="26" t="n">
        <x:v>0.3156843156843157</x:v>
      </x:c>
      <x:c r="I206" s="26" t="n">
        <x:v>0.4706020236746494</x:v>
      </x:c>
      <x:c r="J206" s="27" t="b">
        <x:v>0</x:v>
      </x:c>
      <x:c r="K206" s="27" t="b">
        <x:v>0</x:v>
      </x:c>
      <x:c r="L206" s="24" t="b">
        <x:f>AND(J206,K206)</x:f>
        <x:v>0</x:v>
      </x:c>
      <x:c r="M206" s="29" t="b">
        <x:v>0</x:v>
      </x:c>
      <x:c r="N206" s="30"/>
      <x:c r="O206" s="31"/>
      <x:c r="P206" s="31"/>
      <x:c r="Q206" s="31"/>
      <x:c r="R206" s="31"/>
      <x:c r="S206" s="33" t="str">
        <x:f>IF(OR(G206="",P206=""),"",G206-P206)</x:f>
      </x:c>
      <x:c r="T206" s="33" t="str">
        <x:f>IF(S206="","",ABS(S206))</x:f>
      </x:c>
      <x:c r="U206" s="34" t="str">
        <x:f>IF(M206=FALSE,"Not analysed in paper",IF(K206=N206,"Significance agrees",IF(K206=TRUE,"User only","Paper only")))</x:f>
        <x:v>Not analysed in paper</x:v>
      </x:c>
      <x:c r="V206" s="34" t="str">
        <x:f>IF(M206=FALSE,"Not analysed in paper",IF(L206=FALSE,"User not reliable/significant",IF(N206=FALSE,"Paper not significant",IF(P206="","Exact paper latency unavailable",IF(T206&lt;=10,"Close (&lt;=10 ms)",IF(T206&lt;=20,"Similar (10-20 ms)","Different (&gt;20 ms)"))))))</x:f>
        <x:v>Not analysed in paper</x:v>
      </x:c>
      <x:c r="W206" s="37" t="b">
        <x:v>0</x:v>
      </x:c>
      <x:c r="X206" s="38"/>
      <x:c r="Y206" s="38"/>
      <x:c r="Z206" s="39"/>
      <x:c r="AA206" s="39" t="str">
        <x:f>IF(W206=FALSE,"Not explicitly reported in PDF",IF(AND(G206&gt;=X206,G206&lt;=Y206),"Within PDF value/range",IF(MIN(ABS(G206-X206),ABS(G206-Y206))&lt;=15,"Within 15 ms of PDF","Different from PDF")))</x:f>
        <x:v>Not explicitly reported in PDF</x:v>
      </x:c>
    </x:row>
    <x:row r="207">
      <x:c r="A207" s="20" t="str">
        <x:v>RL</x:v>
      </x:c>
      <x:c r="B207" s="20" t="str">
        <x:v>Rostral linear nucleus raphe</x:v>
      </x:c>
      <x:c r="C207" s="20" t="str">
        <x:v>Midbrain</x:v>
      </x:c>
      <x:c r="D207" s="24" t="n">
        <x:v>1</x:v>
      </x:c>
      <x:c r="E207" s="24" t="n">
        <x:v>12</x:v>
      </x:c>
      <x:c r="F207" s="25" t="n">
        <x:v>4.337856985358534</x:v>
      </x:c>
      <x:c r="G207" s="25" t="n">
        <x:v>137.57024785649844</x:v>
      </x:c>
      <x:c r="H207" s="26" t="n">
        <x:v>0.0889110889110889</x:v>
      </x:c>
      <x:c r="I207" s="26" t="n">
        <x:v>0.1862232255933043</x:v>
      </x:c>
      <x:c r="J207" s="27" t="b">
        <x:v>0</x:v>
      </x:c>
      <x:c r="K207" s="27" t="b">
        <x:v>0</x:v>
      </x:c>
      <x:c r="L207" s="24" t="b">
        <x:f>AND(J207,K207)</x:f>
        <x:v>0</x:v>
      </x:c>
      <x:c r="M207" s="29" t="b">
        <x:v>0</x:v>
      </x:c>
      <x:c r="N207" s="30"/>
      <x:c r="O207" s="31"/>
      <x:c r="P207" s="31"/>
      <x:c r="Q207" s="31"/>
      <x:c r="R207" s="31"/>
      <x:c r="S207" s="33" t="str">
        <x:f>IF(OR(G207="",P207=""),"",G207-P207)</x:f>
      </x:c>
      <x:c r="T207" s="33" t="str">
        <x:f>IF(S207="","",ABS(S207))</x:f>
      </x:c>
      <x:c r="U207" s="34" t="str">
        <x:f>IF(M207=FALSE,"Not analysed in paper",IF(K207=N207,"Significance agrees",IF(K207=TRUE,"User only","Paper only")))</x:f>
        <x:v>Not analysed in paper</x:v>
      </x:c>
      <x:c r="V207" s="34" t="str">
        <x:f>IF(M207=FALSE,"Not analysed in paper",IF(L207=FALSE,"User not reliable/significant",IF(N207=FALSE,"Paper not significant",IF(P207="","Exact paper latency unavailable",IF(T207&lt;=10,"Close (&lt;=10 ms)",IF(T207&lt;=20,"Similar (10-20 ms)","Different (&gt;20 ms)"))))))</x:f>
        <x:v>Not analysed in paper</x:v>
      </x:c>
      <x:c r="W207" s="37" t="b">
        <x:v>0</x:v>
      </x:c>
      <x:c r="X207" s="38"/>
      <x:c r="Y207" s="38"/>
      <x:c r="Z207" s="39"/>
      <x:c r="AA207" s="39" t="str">
        <x:f>IF(W207=FALSE,"Not explicitly reported in PDF",IF(AND(G207&gt;=X207,G207&lt;=Y207),"Within PDF value/range",IF(MIN(ABS(G207-X207),ABS(G207-Y207))&lt;=15,"Within 15 ms of PDF","Different from PDF")))</x:f>
        <x:v>Not explicitly reported in PDF</x:v>
      </x:c>
    </x:row>
    <x:row r="208">
      <x:c r="A208" s="20" t="str">
        <x:v>RN</x:v>
      </x:c>
      <x:c r="B208" s="20" t="str">
        <x:v>Red nucleus</x:v>
      </x:c>
      <x:c r="C208" s="20" t="str">
        <x:v>Midbrain</x:v>
      </x:c>
      <x:c r="D208" s="24" t="n">
        <x:v>22</x:v>
      </x:c>
      <x:c r="E208" s="24" t="n">
        <x:v>429</x:v>
      </x:c>
      <x:c r="F208" s="25" t="n">
        <x:v>7.91112483831332</x:v>
      </x:c>
      <x:c r="G208" s="25" t="n">
        <x:v>106.83802215696495</x:v>
      </x:c>
      <x:c r="H208" s="26" t="n">
        <x:v>0.1598401598401598</x:v>
      </x:c>
      <x:c r="I208" s="26" t="n">
        <x:v>0.2948558291024044</x:v>
      </x:c>
      <x:c r="J208" s="27" t="b">
        <x:v>1</x:v>
      </x:c>
      <x:c r="K208" s="27" t="b">
        <x:v>0</x:v>
      </x:c>
      <x:c r="L208" s="24" t="b">
        <x:f>AND(J208,K208)</x:f>
        <x:v>0</x:v>
      </x:c>
      <x:c r="M208" s="29" t="b">
        <x:v>1</x:v>
      </x:c>
      <x:c r="N208" s="30" t="n">
        <x:v>1</x:v>
      </x:c>
      <x:c r="O208" s="31" t="n">
        <x:v>-0.21</x:v>
      </x:c>
      <x:c r="P208" s="31" t="n">
        <x:v>93.6170212765957</x:v>
      </x:c>
      <x:c r="Q208" s="31" t="n">
        <x:v>0.8345299205389972</x:v>
      </x:c>
      <x:c r="R208" s="31" t="n">
        <x:v>1</x:v>
      </x:c>
      <x:c r="S208" s="33" t="n">
        <x:f>IF(OR(G208="",P208=""),"",G208-P208)</x:f>
        <x:v>13.22100088036926</x:v>
      </x:c>
      <x:c r="T208" s="33" t="n">
        <x:f>IF(S208="","",ABS(S208))</x:f>
        <x:v>13.22100088036926</x:v>
      </x:c>
      <x:c r="U208" s="34" t="str">
        <x:f>IF(M208=FALSE,"Not analysed in paper",IF(K208=N208,"Significance agrees",IF(K208=TRUE,"User only","Paper only")))</x:f>
        <x:v>Paper only</x:v>
      </x:c>
      <x:c r="V208" s="34" t="str">
        <x:f>IF(M208=FALSE,"Not analysed in paper",IF(L208=FALSE,"User not reliable/significant",IF(N208=FALSE,"Paper not significant",IF(P208="","Exact paper latency unavailable",IF(T208&lt;=10,"Close (&lt;=10 ms)",IF(T208&lt;=20,"Similar (10-20 ms)","Different (&gt;20 ms)"))))))</x:f>
        <x:v>User not reliable/significant</x:v>
      </x:c>
      <x:c r="W208" s="37" t="b">
        <x:v>0</x:v>
      </x:c>
      <x:c r="X208" s="38"/>
      <x:c r="Y208" s="38"/>
      <x:c r="Z208" s="39"/>
      <x:c r="AA208" s="39" t="str">
        <x:f>IF(W208=FALSE,"Not explicitly reported in PDF",IF(AND(G208&gt;=X208,G208&lt;=Y208),"Within PDF value/range",IF(MIN(ABS(G208-X208),ABS(G208-Y208))&lt;=15,"Within 15 ms of PDF","Different from PDF")))</x:f>
        <x:v>Not explicitly reported in PDF</x:v>
      </x:c>
    </x:row>
    <x:row r="209">
      <x:c r="A209" s="20" t="str">
        <x:v>RPF</x:v>
      </x:c>
      <x:c r="B209" s="20" t="str">
        <x:v>Retroparafascicular nucleus</x:v>
      </x:c>
      <x:c r="C209" s="20" t="str">
        <x:v>Midbrain</x:v>
      </x:c>
      <x:c r="D209" s="24" t="n">
        <x:v>4</x:v>
      </x:c>
      <x:c r="E209" s="24" t="n">
        <x:v>42</x:v>
      </x:c>
      <x:c r="F209" s="25" t="n">
        <x:v>8.298702110375606</x:v>
      </x:c>
      <x:c r="G209" s="25" t="n">
        <x:v>128.39281865148394</x:v>
      </x:c>
      <x:c r="H209" s="26" t="n">
        <x:v>0.0189810189810189</x:v>
      </x:c>
      <x:c r="I209" s="26" t="n">
        <x:v>0.0608307355295307</x:v>
      </x:c>
      <x:c r="J209" s="27" t="b">
        <x:v>1</x:v>
      </x:c>
      <x:c r="K209" s="27" t="b">
        <x:v>0</x:v>
      </x:c>
      <x:c r="L209" s="24" t="b">
        <x:f>AND(J209,K209)</x:f>
        <x:v>0</x:v>
      </x:c>
      <x:c r="M209" s="29" t="b">
        <x:v>1</x:v>
      </x:c>
      <x:c r="N209" s="30" t="n">
        <x:v>1</x:v>
      </x:c>
      <x:c r="O209" s="31" t="n">
        <x:v>-0.3</x:v>
      </x:c>
      <x:c r="P209" s="31"/>
      <x:c r="Q209" s="31"/>
      <x:c r="R209" s="31"/>
      <x:c r="S209" s="33" t="str">
        <x:f>IF(OR(G209="",P209=""),"",G209-P209)</x:f>
      </x:c>
      <x:c r="T209" s="33" t="str">
        <x:f>IF(S209="","",ABS(S209))</x:f>
      </x:c>
      <x:c r="U209" s="34" t="str">
        <x:f>IF(M209=FALSE,"Not analysed in paper",IF(K209=N209,"Significance agrees",IF(K209=TRUE,"User only","Paper only")))</x:f>
        <x:v>Paper only</x:v>
      </x:c>
      <x:c r="V209" s="34" t="str">
        <x:f>IF(M209=FALSE,"Not analysed in paper",IF(L209=FALSE,"User not reliable/significant",IF(N209=FALSE,"Paper not significant",IF(P209="","Exact paper latency unavailable",IF(T209&lt;=10,"Close (&lt;=10 ms)",IF(T209&lt;=20,"Similar (10-20 ms)","Different (&gt;20 ms)"))))))</x:f>
        <x:v>User not reliable/significant</x:v>
      </x:c>
      <x:c r="W209" s="37" t="b">
        <x:v>0</x:v>
      </x:c>
      <x:c r="X209" s="38"/>
      <x:c r="Y209" s="38"/>
      <x:c r="Z209" s="39"/>
      <x:c r="AA209" s="39" t="str">
        <x:f>IF(W209=FALSE,"Not explicitly reported in PDF",IF(AND(G209&gt;=X209,G209&lt;=Y209),"Within PDF value/range",IF(MIN(ABS(G209-X209),ABS(G209-Y209))&lt;=15,"Within 15 ms of PDF","Different from PDF")))</x:f>
        <x:v>Not explicitly reported in PDF</x:v>
      </x:c>
    </x:row>
    <x:row r="210">
      <x:c r="A210" s="20" t="str">
        <x:v>RR</x:v>
      </x:c>
      <x:c r="B210" s="20" t="str">
        <x:v>Midbrain reticular nucleus retrorubral area</x:v>
      </x:c>
      <x:c r="C210" s="20" t="str">
        <x:v>Midbrain</x:v>
      </x:c>
      <x:c r="D210" s="24" t="n">
        <x:v>6</x:v>
      </x:c>
      <x:c r="E210" s="24" t="n">
        <x:v>60</x:v>
      </x:c>
      <x:c r="F210" s="25" t="n">
        <x:v>2.667324596474012</x:v>
      </x:c>
      <x:c r="G210" s="25" t="n">
        <x:v>110.14463316694854</x:v>
      </x:c>
      <x:c r="H210" s="26" t="n">
        <x:v>0.0099900099900099</x:v>
      </x:c>
      <x:c r="I210" s="26" t="n">
        <x:v>0.0385122124252559</x:v>
      </x:c>
      <x:c r="J210" s="27" t="b">
        <x:v>1</x:v>
      </x:c>
      <x:c r="K210" s="27" t="b">
        <x:v>0</x:v>
      </x:c>
      <x:c r="L210" s="24" t="b">
        <x:f>AND(J210,K210)</x:f>
        <x:v>0</x:v>
      </x:c>
      <x:c r="M210" s="29" t="b">
        <x:v>1</x:v>
      </x:c>
      <x:c r="N210" s="30" t="n">
        <x:v>0</x:v>
      </x:c>
      <x:c r="O210" s="31" t="n">
        <x:v>-0.66</x:v>
      </x:c>
      <x:c r="P210" s="31"/>
      <x:c r="Q210" s="31"/>
      <x:c r="R210" s="31"/>
      <x:c r="S210" s="33" t="str">
        <x:f>IF(OR(G210="",P210=""),"",G210-P210)</x:f>
      </x:c>
      <x:c r="T210" s="33" t="str">
        <x:f>IF(S210="","",ABS(S210))</x:f>
      </x:c>
      <x:c r="U210" s="34" t="str">
        <x:f>IF(M210=FALSE,"Not analysed in paper",IF(K210=N210,"Significance agrees",IF(K210=TRUE,"User only","Paper only")))</x:f>
        <x:v>Significance agrees</x:v>
      </x:c>
      <x:c r="V210" s="34" t="str">
        <x:f>IF(M210=FALSE,"Not analysed in paper",IF(L210=FALSE,"User not reliable/significant",IF(N210=FALSE,"Paper not significant",IF(P210="","Exact paper latency unavailable",IF(T210&lt;=10,"Close (&lt;=10 ms)",IF(T210&lt;=20,"Similar (10-20 ms)","Different (&gt;20 ms)"))))))</x:f>
        <x:v>User not reliable/significant</x:v>
      </x:c>
      <x:c r="W210" s="37" t="b">
        <x:v>0</x:v>
      </x:c>
      <x:c r="X210" s="38"/>
      <x:c r="Y210" s="38"/>
      <x:c r="Z210" s="39"/>
      <x:c r="AA210" s="39" t="str">
        <x:f>IF(W210=FALSE,"Not explicitly reported in PDF",IF(AND(G210&gt;=X210,G210&lt;=Y210),"Within PDF value/range",IF(MIN(ABS(G210-X210),ABS(G210-Y210))&lt;=15,"Within 15 ms of PDF","Different from PDF")))</x:f>
        <x:v>Not explicitly reported in PDF</x:v>
      </x:c>
    </x:row>
    <x:row r="211">
      <x:c r="A211" s="20" t="str">
        <x:v>SAG</x:v>
      </x:c>
      <x:c r="B211" s="20" t="str">
        <x:v>Nucleus sagulum</x:v>
      </x:c>
      <x:c r="C211" s="20" t="str">
        <x:v>Midbrain</x:v>
      </x:c>
      <x:c r="D211" s="24" t="n">
        <x:v>4</x:v>
      </x:c>
      <x:c r="E211" s="24" t="n">
        <x:v>51</x:v>
      </x:c>
      <x:c r="F211" s="25" t="n">
        <x:v>4.865878994203082</x:v>
      </x:c>
      <x:c r="G211" s="25" t="n">
        <x:v>50.24097553161115</x:v>
      </x:c>
      <x:c r="H211" s="26" t="n">
        <x:v>0.0159840159840159</x:v>
      </x:c>
      <x:c r="I211" s="26" t="n">
        <x:v>0.0531468531468531</x:v>
      </x:c>
      <x:c r="J211" s="27" t="b">
        <x:v>1</x:v>
      </x:c>
      <x:c r="K211" s="27" t="b">
        <x:v>0</x:v>
      </x:c>
      <x:c r="L211" s="24" t="b">
        <x:f>AND(J211,K211)</x:f>
        <x:v>0</x:v>
      </x:c>
      <x:c r="M211" s="29" t="b">
        <x:v>1</x:v>
      </x:c>
      <x:c r="N211" s="30" t="n">
        <x:v>1</x:v>
      </x:c>
      <x:c r="O211" s="31" t="n">
        <x:v>-0.34</x:v>
      </x:c>
      <x:c r="P211" s="31"/>
      <x:c r="Q211" s="31"/>
      <x:c r="R211" s="31"/>
      <x:c r="S211" s="33" t="str">
        <x:f>IF(OR(G211="",P211=""),"",G211-P211)</x:f>
      </x:c>
      <x:c r="T211" s="33" t="str">
        <x:f>IF(S211="","",ABS(S211))</x:f>
      </x:c>
      <x:c r="U211" s="34" t="str">
        <x:f>IF(M211=FALSE,"Not analysed in paper",IF(K211=N211,"Significance agrees",IF(K211=TRUE,"User only","Paper only")))</x:f>
        <x:v>Paper only</x:v>
      </x:c>
      <x:c r="V211" s="34" t="str">
        <x:f>IF(M211=FALSE,"Not analysed in paper",IF(L211=FALSE,"User not reliable/significant",IF(N211=FALSE,"Paper not significant",IF(P211="","Exact paper latency unavailable",IF(T211&lt;=10,"Close (&lt;=10 ms)",IF(T211&lt;=20,"Similar (10-20 ms)","Different (&gt;20 ms)"))))))</x:f>
        <x:v>User not reliable/significant</x:v>
      </x:c>
      <x:c r="W211" s="37" t="b">
        <x:v>0</x:v>
      </x:c>
      <x:c r="X211" s="38"/>
      <x:c r="Y211" s="38"/>
      <x:c r="Z211" s="39"/>
      <x:c r="AA211" s="39" t="str">
        <x:f>IF(W211=FALSE,"Not explicitly reported in PDF",IF(AND(G211&gt;=X211,G211&lt;=Y211),"Within PDF value/range",IF(MIN(ABS(G211-X211),ABS(G211-Y211))&lt;=15,"Within 15 ms of PDF","Different from PDF")))</x:f>
        <x:v>Not explicitly reported in PDF</x:v>
      </x:c>
    </x:row>
    <x:row r="212">
      <x:c r="A212" s="20" t="str">
        <x:v>SCm</x:v>
      </x:c>
      <x:c r="B212" s="20" t="str">
        <x:v>Superior colliculus motor related</x:v>
      </x:c>
      <x:c r="C212" s="20" t="str">
        <x:v>Midbrain</x:v>
      </x:c>
      <x:c r="D212" s="24" t="n">
        <x:v>72</x:v>
      </x:c>
      <x:c r="E212" s="24" t="n">
        <x:v>1666</x:v>
      </x:c>
      <x:c r="F212" s="25" t="n">
        <x:v>6.597514286745147</x:v>
      </x:c>
      <x:c r="G212" s="25" t="n">
        <x:v>111.37609020477896</x:v>
      </x:c>
      <x:c r="H212" s="26" t="n">
        <x:v>0.0009990009990009</x:v>
      </x:c>
      <x:c r="I212" s="26" t="n">
        <x:v>0.0066433566433566</x:v>
      </x:c>
      <x:c r="J212" s="27" t="b">
        <x:v>1</x:v>
      </x:c>
      <x:c r="K212" s="27" t="b">
        <x:v>1</x:v>
      </x:c>
      <x:c r="L212" s="24" t="b">
        <x:f>AND(J212,K212)</x:f>
        <x:v>1</x:v>
      </x:c>
      <x:c r="M212" s="29" t="b">
        <x:v>1</x:v>
      </x:c>
      <x:c r="N212" s="30" t="n">
        <x:v>1</x:v>
      </x:c>
      <x:c r="O212" s="31" t="n">
        <x:v>-0.33</x:v>
      </x:c>
      <x:c r="P212" s="31" t="n">
        <x:v>78.7234042553191</x:v>
      </x:c>
      <x:c r="Q212" s="31" t="n">
        <x:v>0.4534454211207204</x:v>
      </x:c>
      <x:c r="R212" s="31" t="n">
        <x:v>1</x:v>
      </x:c>
      <x:c r="S212" s="33" t="n">
        <x:f>IF(OR(G212="",P212=""),"",G212-P212)</x:f>
        <x:v>32.652685949459865</x:v>
      </x:c>
      <x:c r="T212" s="33" t="n">
        <x:f>IF(S212="","",ABS(S212))</x:f>
        <x:v>32.652685949459865</x:v>
      </x:c>
      <x:c r="U212" s="34" t="str">
        <x:f>IF(M212=FALSE,"Not analysed in paper",IF(K212=N212,"Significance agrees",IF(K212=TRUE,"User only","Paper only")))</x:f>
        <x:v>Significance agrees</x:v>
      </x:c>
      <x:c r="V212" s="34" t="str">
        <x:f>IF(M212=FALSE,"Not analysed in paper",IF(L212=FALSE,"User not reliable/significant",IF(N212=FALSE,"Paper not significant",IF(P212="","Exact paper latency unavailable",IF(T212&lt;=10,"Close (&lt;=10 ms)",IF(T212&lt;=20,"Similar (10-20 ms)","Different (&gt;20 ms)"))))))</x:f>
        <x:v>Different (&gt;20 ms)</x:v>
      </x:c>
      <x:c r="W212" s="37" t="b">
        <x:v>1</x:v>
      </x:c>
      <x:c r="X212" s="38" t="n">
        <x:v>100</x:v>
      </x:c>
      <x:c r="Y212" s="38" t="n">
        <x:v>120</x:v>
      </x:c>
      <x:c r="Z212" s="39" t="str">
        <x:v>approximately 100-120 ms</x:v>
      </x:c>
      <x:c r="AA212" s="39" t="str">
        <x:f>IF(W212=FALSE,"Not explicitly reported in PDF",IF(AND(G212&gt;=X212,G212&lt;=Y212),"Within PDF value/range",IF(MIN(ABS(G212-X212),ABS(G212-Y212))&lt;=15,"Within 15 ms of PDF","Different from PDF")))</x:f>
        <x:v>Within PDF value/range</x:v>
      </x:c>
    </x:row>
    <x:row r="213">
      <x:c r="A213" s="20" t="str">
        <x:v>SCs</x:v>
      </x:c>
      <x:c r="B213" s="20" t="str">
        <x:v>Superior colliculus sensory related</x:v>
      </x:c>
      <x:c r="C213" s="20" t="str">
        <x:v>Midbrain</x:v>
      </x:c>
      <x:c r="D213" s="24" t="n">
        <x:v>24</x:v>
      </x:c>
      <x:c r="E213" s="24" t="n">
        <x:v>185</x:v>
      </x:c>
      <x:c r="F213" s="25" t="n">
        <x:v>1.8561389063711111</x:v>
      </x:c>
      <x:c r="G213" s="25" t="n">
        <x:v>44.22272462002641</x:v>
      </x:c>
      <x:c r="H213" s="26" t="n">
        <x:v>0.0079920079920079</x:v>
      </x:c>
      <x:c r="I213" s="26" t="n">
        <x:v>0.0327057557826788</x:v>
      </x:c>
      <x:c r="J213" s="27" t="b">
        <x:v>1</x:v>
      </x:c>
      <x:c r="K213" s="27" t="b">
        <x:v>0</x:v>
      </x:c>
      <x:c r="L213" s="24" t="b">
        <x:f>AND(J213,K213)</x:f>
        <x:v>0</x:v>
      </x:c>
      <x:c r="M213" s="29" t="b">
        <x:v>1</x:v>
      </x:c>
      <x:c r="N213" s="30" t="n">
        <x:v>1</x:v>
      </x:c>
      <x:c r="O213" s="31" t="n">
        <x:v>-0.6</x:v>
      </x:c>
      <x:c r="P213" s="31"/>
      <x:c r="Q213" s="31"/>
      <x:c r="R213" s="31"/>
      <x:c r="S213" s="33" t="str">
        <x:f>IF(OR(G213="",P213=""),"",G213-P213)</x:f>
      </x:c>
      <x:c r="T213" s="33" t="str">
        <x:f>IF(S213="","",ABS(S213))</x:f>
      </x:c>
      <x:c r="U213" s="34" t="str">
        <x:f>IF(M213=FALSE,"Not analysed in paper",IF(K213=N213,"Significance agrees",IF(K213=TRUE,"User only","Paper only")))</x:f>
        <x:v>Paper only</x:v>
      </x:c>
      <x:c r="V213" s="34" t="str">
        <x:f>IF(M213=FALSE,"Not analysed in paper",IF(L213=FALSE,"User not reliable/significant",IF(N213=FALSE,"Paper not significant",IF(P213="","Exact paper latency unavailable",IF(T213&lt;=10,"Close (&lt;=10 ms)",IF(T213&lt;=20,"Similar (10-20 ms)","Different (&gt;20 ms)"))))))</x:f>
        <x:v>User not reliable/significant</x:v>
      </x:c>
      <x:c r="W213" s="37" t="b">
        <x:v>0</x:v>
      </x:c>
      <x:c r="X213" s="38"/>
      <x:c r="Y213" s="38"/>
      <x:c r="Z213" s="39"/>
      <x:c r="AA213" s="39" t="str">
        <x:f>IF(W213=FALSE,"Not explicitly reported in PDF",IF(AND(G213&gt;=X213,G213&lt;=Y213),"Within PDF value/range",IF(MIN(ABS(G213-X213),ABS(G213-Y213))&lt;=15,"Within 15 ms of PDF","Different from PDF")))</x:f>
        <x:v>Not explicitly reported in PDF</x:v>
      </x:c>
    </x:row>
    <x:row r="214">
      <x:c r="A214" s="20" t="str">
        <x:v>SNc</x:v>
      </x:c>
      <x:c r="B214" s="20" t="str">
        <x:v>Substantia nigra compact part</x:v>
      </x:c>
      <x:c r="C214" s="20" t="str">
        <x:v>Midbrain</x:v>
      </x:c>
      <x:c r="D214" s="24" t="n">
        <x:v>7</x:v>
      </x:c>
      <x:c r="E214" s="24" t="n">
        <x:v>36</x:v>
      </x:c>
      <x:c r="F214" s="25" t="n">
        <x:v>6.354288563594749</x:v>
      </x:c>
      <x:c r="G214" s="25" t="n">
        <x:v>61.109872175796525</x:v>
      </x:c>
      <x:c r="H214" s="26" t="n">
        <x:v>0.0389610389610389</x:v>
      </x:c>
      <x:c r="I214" s="26" t="n">
        <x:v>0.0959595959595959</x:v>
      </x:c>
      <x:c r="J214" s="27" t="b">
        <x:v>1</x:v>
      </x:c>
      <x:c r="K214" s="27" t="b">
        <x:v>0</x:v>
      </x:c>
      <x:c r="L214" s="24" t="b">
        <x:f>AND(J214,K214)</x:f>
        <x:v>0</x:v>
      </x:c>
      <x:c r="M214" s="29" t="b">
        <x:v>1</x:v>
      </x:c>
      <x:c r="N214" s="30" t="n">
        <x:v>1</x:v>
      </x:c>
      <x:c r="O214" s="31" t="n">
        <x:v>-0.15</x:v>
      </x:c>
      <x:c r="P214" s="31"/>
      <x:c r="Q214" s="31"/>
      <x:c r="R214" s="31"/>
      <x:c r="S214" s="33" t="str">
        <x:f>IF(OR(G214="",P214=""),"",G214-P214)</x:f>
      </x:c>
      <x:c r="T214" s="33" t="str">
        <x:f>IF(S214="","",ABS(S214))</x:f>
      </x:c>
      <x:c r="U214" s="34" t="str">
        <x:f>IF(M214=FALSE,"Not analysed in paper",IF(K214=N214,"Significance agrees",IF(K214=TRUE,"User only","Paper only")))</x:f>
        <x:v>Paper only</x:v>
      </x:c>
      <x:c r="V214" s="34" t="str">
        <x:f>IF(M214=FALSE,"Not analysed in paper",IF(L214=FALSE,"User not reliable/significant",IF(N214=FALSE,"Paper not significant",IF(P214="","Exact paper latency unavailable",IF(T214&lt;=10,"Close (&lt;=10 ms)",IF(T214&lt;=20,"Similar (10-20 ms)","Different (&gt;20 ms)"))))))</x:f>
        <x:v>User not reliable/significant</x:v>
      </x:c>
      <x:c r="W214" s="37" t="b">
        <x:v>0</x:v>
      </x:c>
      <x:c r="X214" s="38"/>
      <x:c r="Y214" s="38"/>
      <x:c r="Z214" s="39"/>
      <x:c r="AA214" s="39" t="str">
        <x:f>IF(W214=FALSE,"Not explicitly reported in PDF",IF(AND(G214&gt;=X214,G214&lt;=Y214),"Within PDF value/range",IF(MIN(ABS(G214-X214),ABS(G214-Y214))&lt;=15,"Within 15 ms of PDF","Different from PDF")))</x:f>
        <x:v>Not explicitly reported in PDF</x:v>
      </x:c>
    </x:row>
    <x:row r="215">
      <x:c r="A215" s="20" t="str">
        <x:v>SNr</x:v>
      </x:c>
      <x:c r="B215" s="20" t="str">
        <x:v>Substantia nigra reticular part</x:v>
      </x:c>
      <x:c r="C215" s="20" t="str">
        <x:v>Midbrain</x:v>
      </x:c>
      <x:c r="D215" s="24" t="n">
        <x:v>19</x:v>
      </x:c>
      <x:c r="E215" s="24" t="n">
        <x:v>149</x:v>
      </x:c>
      <x:c r="F215" s="25" t="n">
        <x:v>13.190895711870189</x:v>
      </x:c>
      <x:c r="G215" s="25" t="n">
        <x:v>112.1771007598864</x:v>
      </x:c>
      <x:c r="H215" s="26" t="n">
        <x:v>0.0009990009990009</x:v>
      </x:c>
      <x:c r="I215" s="26" t="n">
        <x:v>0.0066433566433566</x:v>
      </x:c>
      <x:c r="J215" s="27" t="b">
        <x:v>1</x:v>
      </x:c>
      <x:c r="K215" s="27" t="b">
        <x:v>1</x:v>
      </x:c>
      <x:c r="L215" s="24" t="b">
        <x:f>AND(J215,K215)</x:f>
        <x:v>1</x:v>
      </x:c>
      <x:c r="M215" s="29" t="b">
        <x:v>1</x:v>
      </x:c>
      <x:c r="N215" s="30" t="n">
        <x:v>1</x:v>
      </x:c>
      <x:c r="O215" s="31" t="n">
        <x:v>0.01</x:v>
      </x:c>
      <x:c r="P215" s="31"/>
      <x:c r="Q215" s="31"/>
      <x:c r="R215" s="31"/>
      <x:c r="S215" s="33" t="str">
        <x:f>IF(OR(G215="",P215=""),"",G215-P215)</x:f>
      </x:c>
      <x:c r="T215" s="33" t="str">
        <x:f>IF(S215="","",ABS(S215))</x:f>
      </x:c>
      <x:c r="U215" s="34" t="str">
        <x:f>IF(M215=FALSE,"Not analysed in paper",IF(K215=N215,"Significance agrees",IF(K215=TRUE,"User only","Paper only")))</x:f>
        <x:v>Significance agrees</x:v>
      </x:c>
      <x:c r="V215" s="34" t="str">
        <x:f>IF(M215=FALSE,"Not analysed in paper",IF(L215=FALSE,"User not reliable/significant",IF(N215=FALSE,"Paper not significant",IF(P215="","Exact paper latency unavailable",IF(T215&lt;=10,"Close (&lt;=10 ms)",IF(T215&lt;=20,"Similar (10-20 ms)","Different (&gt;20 ms)"))))))</x:f>
        <x:v>Exact paper latency unavailable</x:v>
      </x:c>
      <x:c r="W215" s="37" t="b">
        <x:v>0</x:v>
      </x:c>
      <x:c r="X215" s="38"/>
      <x:c r="Y215" s="38"/>
      <x:c r="Z215" s="39"/>
      <x:c r="AA215" s="39" t="str">
        <x:f>IF(W215=FALSE,"Not explicitly reported in PDF",IF(AND(G215&gt;=X215,G215&lt;=Y215),"Within PDF value/range",IF(MIN(ABS(G215-X215),ABS(G215-Y215))&lt;=15,"Within 15 ms of PDF","Different from PDF")))</x:f>
        <x:v>Not explicitly reported in PDF</x:v>
      </x:c>
    </x:row>
    <x:row r="216">
      <x:c r="A216" s="20" t="str">
        <x:v>VTA</x:v>
      </x:c>
      <x:c r="B216" s="20" t="str">
        <x:v>Ventral tegmental area</x:v>
      </x:c>
      <x:c r="C216" s="20" t="str">
        <x:v>Midbrain</x:v>
      </x:c>
      <x:c r="D216" s="24" t="n">
        <x:v>7</x:v>
      </x:c>
      <x:c r="E216" s="24" t="n">
        <x:v>17</x:v>
      </x:c>
      <x:c r="F216" s="25" t="n">
        <x:v>6.594670410863201</x:v>
      </x:c>
      <x:c r="G216" s="25" t="n">
        <x:v>128.39027079861592</x:v>
      </x:c>
      <x:c r="H216" s="26" t="n">
        <x:v>0.1058941058941058</x:v>
      </x:c>
      <x:c r="I216" s="26" t="n">
        <x:v>0.2071164129987659</x:v>
      </x:c>
      <x:c r="J216" s="27" t="b">
        <x:v>0</x:v>
      </x:c>
      <x:c r="K216" s="27" t="b">
        <x:v>0</x:v>
      </x:c>
      <x:c r="L216" s="24" t="b">
        <x:f>AND(J216,K216)</x:f>
        <x:v>0</x:v>
      </x:c>
      <x:c r="M216" s="29" t="b">
        <x:v>0</x:v>
      </x:c>
      <x:c r="N216" s="30"/>
      <x:c r="O216" s="31"/>
      <x:c r="P216" s="31"/>
      <x:c r="Q216" s="31"/>
      <x:c r="R216" s="31"/>
      <x:c r="S216" s="33" t="str">
        <x:f>IF(OR(G216="",P216=""),"",G216-P216)</x:f>
      </x:c>
      <x:c r="T216" s="33" t="str">
        <x:f>IF(S216="","",ABS(S216))</x:f>
      </x:c>
      <x:c r="U216" s="34" t="str">
        <x:f>IF(M216=FALSE,"Not analysed in paper",IF(K216=N216,"Significance agrees",IF(K216=TRUE,"User only","Paper only")))</x:f>
        <x:v>Not analysed in paper</x:v>
      </x:c>
      <x:c r="V216" s="34" t="str">
        <x:f>IF(M216=FALSE,"Not analysed in paper",IF(L216=FALSE,"User not reliable/significant",IF(N216=FALSE,"Paper not significant",IF(P216="","Exact paper latency unavailable",IF(T216&lt;=10,"Close (&lt;=10 ms)",IF(T216&lt;=20,"Similar (10-20 ms)","Different (&gt;20 ms)"))))))</x:f>
        <x:v>Not analysed in paper</x:v>
      </x:c>
      <x:c r="W216" s="37" t="b">
        <x:v>0</x:v>
      </x:c>
      <x:c r="X216" s="38"/>
      <x:c r="Y216" s="38"/>
      <x:c r="Z216" s="39"/>
      <x:c r="AA216" s="39" t="str">
        <x:f>IF(W216=FALSE,"Not explicitly reported in PDF",IF(AND(G216&gt;=X216,G216&lt;=Y216),"Within PDF value/range",IF(MIN(ABS(G216-X216),ABS(G216-Y216))&lt;=15,"Within 15 ms of PDF","Different from PDF")))</x:f>
        <x:v>Not explicitly reported in PDF</x:v>
      </x:c>
    </x:row>
    <x:row r="217">
      <x:c r="A217" s="20" t="str">
        <x:v>VTN</x:v>
      </x:c>
      <x:c r="B217" s="20" t="str">
        <x:v>Ventral tegmental nucleus</x:v>
      </x:c>
      <x:c r="C217" s="20" t="str">
        <x:v>Midbrain</x:v>
      </x:c>
      <x:c r="D217" s="24" t="n">
        <x:v>2</x:v>
      </x:c>
      <x:c r="E217" s="24" t="n">
        <x:v>11</x:v>
      </x:c>
      <x:c r="F217" s="25" t="n">
        <x:v>6.2197904267280135</x:v>
      </x:c>
      <x:c r="G217" s="25" t="n">
        <x:v>122.95221764339044</x:v>
      </x:c>
      <x:c r="H217" s="26" t="n">
        <x:v>0.2227772227772227</x:v>
      </x:c>
      <x:c r="I217" s="26" t="n">
        <x:v>0.3726964859040331</x:v>
      </x:c>
      <x:c r="J217" s="27" t="b">
        <x:v>0</x:v>
      </x:c>
      <x:c r="K217" s="27" t="b">
        <x:v>0</x:v>
      </x:c>
      <x:c r="L217" s="24" t="b">
        <x:f>AND(J217,K217)</x:f>
        <x:v>0</x:v>
      </x:c>
      <x:c r="M217" s="29" t="b">
        <x:v>0</x:v>
      </x:c>
      <x:c r="N217" s="30"/>
      <x:c r="O217" s="31"/>
      <x:c r="P217" s="31"/>
      <x:c r="Q217" s="31"/>
      <x:c r="R217" s="31"/>
      <x:c r="S217" s="33" t="str">
        <x:f>IF(OR(G217="",P217=""),"",G217-P217)</x:f>
      </x:c>
      <x:c r="T217" s="33" t="str">
        <x:f>IF(S217="","",ABS(S217))</x:f>
      </x:c>
      <x:c r="U217" s="34" t="str">
        <x:f>IF(M217=FALSE,"Not analysed in paper",IF(K217=N217,"Significance agrees",IF(K217=TRUE,"User only","Paper only")))</x:f>
        <x:v>Not analysed in paper</x:v>
      </x:c>
      <x:c r="V217" s="34" t="str">
        <x:f>IF(M217=FALSE,"Not analysed in paper",IF(L217=FALSE,"User not reliable/significant",IF(N217=FALSE,"Paper not significant",IF(P217="","Exact paper latency unavailable",IF(T217&lt;=10,"Close (&lt;=10 ms)",IF(T217&lt;=20,"Similar (10-20 ms)","Different (&gt;20 ms)"))))))</x:f>
        <x:v>Not analysed in paper</x:v>
      </x:c>
      <x:c r="W217" s="37" t="b">
        <x:v>0</x:v>
      </x:c>
      <x:c r="X217" s="38"/>
      <x:c r="Y217" s="38"/>
      <x:c r="Z217" s="39"/>
      <x:c r="AA217" s="39" t="str">
        <x:f>IF(W217=FALSE,"Not explicitly reported in PDF",IF(AND(G217&gt;=X217,G217&lt;=Y217),"Within PDF value/range",IF(MIN(ABS(G217-X217),ABS(G217-Y217))&lt;=15,"Within 15 ms of PDF","Different from PDF")))</x:f>
        <x:v>Not explicitly reported in PDF</x:v>
      </x:c>
    </x:row>
    <x:row r="218">
      <x:c r="A218" s="20" t="str">
        <x:v>AON</x:v>
      </x:c>
      <x:c r="B218" s="20" t="str">
        <x:v>Anterior olfactory nucleus</x:v>
      </x:c>
      <x:c r="C218" s="20" t="str">
        <x:v>Olfactory areas</x:v>
      </x:c>
      <x:c r="D218" s="24" t="n">
        <x:v>15</x:v>
      </x:c>
      <x:c r="E218" s="24" t="n">
        <x:v>428</x:v>
      </x:c>
      <x:c r="F218" s="25" t="n">
        <x:v>1.6817279325396592</x:v>
      </x:c>
      <x:c r="G218" s="25" t="n">
        <x:v>120.983869970683</x:v>
      </x:c>
      <x:c r="H218" s="26" t="n">
        <x:v>0.0519480519480519</x:v>
      </x:c>
      <x:c r="I218" s="26" t="n">
        <x:v>0.1191222570532915</x:v>
      </x:c>
      <x:c r="J218" s="27" t="b">
        <x:v>1</x:v>
      </x:c>
      <x:c r="K218" s="27" t="b">
        <x:v>0</x:v>
      </x:c>
      <x:c r="L218" s="24" t="b">
        <x:f>AND(J218,K218)</x:f>
        <x:v>0</x:v>
      </x:c>
      <x:c r="M218" s="29" t="b">
        <x:v>1</x:v>
      </x:c>
      <x:c r="N218" s="30" t="n">
        <x:v>1</x:v>
      </x:c>
      <x:c r="O218" s="31" t="n">
        <x:v>-1.09</x:v>
      </x:c>
      <x:c r="P218" s="31" t="n">
        <x:v>93.6170212765957</x:v>
      </x:c>
      <x:c r="Q218" s="31" t="n">
        <x:v>0.0999169348983166</x:v>
      </x:c>
      <x:c r="R218" s="31" t="n">
        <x:v>1</x:v>
      </x:c>
      <x:c r="S218" s="33" t="n">
        <x:f>IF(OR(G218="",P218=""),"",G218-P218)</x:f>
        <x:v>27.36684869408731</x:v>
      </x:c>
      <x:c r="T218" s="33" t="n">
        <x:f>IF(S218="","",ABS(S218))</x:f>
        <x:v>27.36684869408731</x:v>
      </x:c>
      <x:c r="U218" s="34" t="str">
        <x:f>IF(M218=FALSE,"Not analysed in paper",IF(K218=N218,"Significance agrees",IF(K218=TRUE,"User only","Paper only")))</x:f>
        <x:v>Paper only</x:v>
      </x:c>
      <x:c r="V218" s="34" t="str">
        <x:f>IF(M218=FALSE,"Not analysed in paper",IF(L218=FALSE,"User not reliable/significant",IF(N218=FALSE,"Paper not significant",IF(P218="","Exact paper latency unavailable",IF(T218&lt;=10,"Close (&lt;=10 ms)",IF(T218&lt;=20,"Similar (10-20 ms)","Different (&gt;20 ms)"))))))</x:f>
        <x:v>User not reliable/significant</x:v>
      </x:c>
      <x:c r="W218" s="37" t="b">
        <x:v>0</x:v>
      </x:c>
      <x:c r="X218" s="38"/>
      <x:c r="Y218" s="38"/>
      <x:c r="Z218" s="39"/>
      <x:c r="AA218" s="39" t="str">
        <x:f>IF(W218=FALSE,"Not explicitly reported in PDF",IF(AND(G218&gt;=X218,G218&lt;=Y218),"Within PDF value/range",IF(MIN(ABS(G218-X218),ABS(G218-Y218))&lt;=15,"Within 15 ms of PDF","Different from PDF")))</x:f>
        <x:v>Not explicitly reported in PDF</x:v>
      </x:c>
    </x:row>
    <x:row r="219">
      <x:c r="A219" s="20" t="str">
        <x:v>COAa</x:v>
      </x:c>
      <x:c r="B219" s="20" t="str">
        <x:v>Cortical amygdalar area anterior part</x:v>
      </x:c>
      <x:c r="C219" s="20" t="str">
        <x:v>Olfactory areas</x:v>
      </x:c>
      <x:c r="D219" s="24" t="n">
        <x:v>2</x:v>
      </x:c>
      <x:c r="E219" s="24" t="n">
        <x:v>17</x:v>
      </x:c>
      <x:c r="F219" s="25" t="n">
        <x:v>1.6173829048430168</x:v>
      </x:c>
      <x:c r="G219" s="25" t="n">
        <x:v>138.12422777988576</x:v>
      </x:c>
      <x:c r="H219" s="26" t="n">
        <x:v>0.7242757242757243</x:v>
      </x:c>
      <x:c r="I219" s="26" t="n">
        <x:v>0.8027389277389277</x:v>
      </x:c>
      <x:c r="J219" s="27" t="b">
        <x:v>0</x:v>
      </x:c>
      <x:c r="K219" s="27" t="b">
        <x:v>0</x:v>
      </x:c>
      <x:c r="L219" s="24" t="b">
        <x:f>AND(J219,K219)</x:f>
        <x:v>0</x:v>
      </x:c>
      <x:c r="M219" s="29" t="b">
        <x:v>0</x:v>
      </x:c>
      <x:c r="N219" s="30"/>
      <x:c r="O219" s="31"/>
      <x:c r="P219" s="31"/>
      <x:c r="Q219" s="31"/>
      <x:c r="R219" s="31"/>
      <x:c r="S219" s="33" t="str">
        <x:f>IF(OR(G219="",P219=""),"",G219-P219)</x:f>
      </x:c>
      <x:c r="T219" s="33" t="str">
        <x:f>IF(S219="","",ABS(S219))</x:f>
      </x:c>
      <x:c r="U219" s="34" t="str">
        <x:f>IF(M219=FALSE,"Not analysed in paper",IF(K219=N219,"Significance agrees",IF(K219=TRUE,"User only","Paper only")))</x:f>
        <x:v>Not analysed in paper</x:v>
      </x:c>
      <x:c r="V219" s="34" t="str">
        <x:f>IF(M219=FALSE,"Not analysed in paper",IF(L219=FALSE,"User not reliable/significant",IF(N219=FALSE,"Paper not significant",IF(P219="","Exact paper latency unavailable",IF(T219&lt;=10,"Close (&lt;=10 ms)",IF(T219&lt;=20,"Similar (10-20 ms)","Different (&gt;20 ms)"))))))</x:f>
        <x:v>Not analysed in paper</x:v>
      </x:c>
      <x:c r="W219" s="37" t="b">
        <x:v>0</x:v>
      </x:c>
      <x:c r="X219" s="38"/>
      <x:c r="Y219" s="38"/>
      <x:c r="Z219" s="39"/>
      <x:c r="AA219" s="39" t="str">
        <x:f>IF(W219=FALSE,"Not explicitly reported in PDF",IF(AND(G219&gt;=X219,G219&lt;=Y219),"Within PDF value/range",IF(MIN(ABS(G219-X219),ABS(G219-Y219))&lt;=15,"Within 15 ms of PDF","Different from PDF")))</x:f>
        <x:v>Not explicitly reported in PDF</x:v>
      </x:c>
    </x:row>
    <x:row r="220">
      <x:c r="A220" s="20" t="str">
        <x:v>COAp</x:v>
      </x:c>
      <x:c r="B220" s="20" t="str">
        <x:v>Cortical amygdalar area posterior part</x:v>
      </x:c>
      <x:c r="C220" s="20" t="str">
        <x:v>Olfactory areas</x:v>
      </x:c>
      <x:c r="D220" s="24" t="n">
        <x:v>15</x:v>
      </x:c>
      <x:c r="E220" s="24" t="n">
        <x:v>121</x:v>
      </x:c>
      <x:c r="F220" s="25" t="n">
        <x:v>1.0201808353749842</x:v>
      </x:c>
      <x:c r="G220" s="25" t="n">
        <x:v>118.79153323771662</x:v>
      </x:c>
      <x:c r="H220" s="26" t="n">
        <x:v>0.7112887112887113</x:v>
      </x:c>
      <x:c r="I220" s="26" t="n">
        <x:v>0.7916435029405741</x:v>
      </x:c>
      <x:c r="J220" s="27" t="b">
        <x:v>1</x:v>
      </x:c>
      <x:c r="K220" s="27" t="b">
        <x:v>0</x:v>
      </x:c>
      <x:c r="L220" s="24" t="b">
        <x:f>AND(J220,K220)</x:f>
        <x:v>0</x:v>
      </x:c>
      <x:c r="M220" s="29" t="b">
        <x:v>1</x:v>
      </x:c>
      <x:c r="N220" s="30" t="n">
        <x:v>0</x:v>
      </x:c>
      <x:c r="O220" s="31" t="n">
        <x:v>-1.04</x:v>
      </x:c>
      <x:c r="P220" s="31" t="n">
        <x:v>36.1702127659574</x:v>
      </x:c>
      <x:c r="Q220" s="31" t="n">
        <x:v>0.0912183636639707</x:v>
      </x:c>
      <x:c r="R220" s="31" t="n">
        <x:v>0</x:v>
      </x:c>
      <x:c r="S220" s="33" t="n">
        <x:f>IF(OR(G220="",P220=""),"",G220-P220)</x:f>
        <x:v>82.62132047175922</x:v>
      </x:c>
      <x:c r="T220" s="33" t="n">
        <x:f>IF(S220="","",ABS(S220))</x:f>
        <x:v>82.62132047175922</x:v>
      </x:c>
      <x:c r="U220" s="34" t="str">
        <x:f>IF(M220=FALSE,"Not analysed in paper",IF(K220=N220,"Significance agrees",IF(K220=TRUE,"User only","Paper only")))</x:f>
        <x:v>Significance agrees</x:v>
      </x:c>
      <x:c r="V220" s="34" t="str">
        <x:f>IF(M220=FALSE,"Not analysed in paper",IF(L220=FALSE,"User not reliable/significant",IF(N220=FALSE,"Paper not significant",IF(P220="","Exact paper latency unavailable",IF(T220&lt;=10,"Close (&lt;=10 ms)",IF(T220&lt;=20,"Similar (10-20 ms)","Different (&gt;20 ms)"))))))</x:f>
        <x:v>User not reliable/significant</x:v>
      </x:c>
      <x:c r="W220" s="37" t="b">
        <x:v>0</x:v>
      </x:c>
      <x:c r="X220" s="38"/>
      <x:c r="Y220" s="38"/>
      <x:c r="Z220" s="39"/>
      <x:c r="AA220" s="39" t="str">
        <x:f>IF(W220=FALSE,"Not explicitly reported in PDF",IF(AND(G220&gt;=X220,G220&lt;=Y220),"Within PDF value/range",IF(MIN(ABS(G220-X220),ABS(G220-Y220))&lt;=15,"Within 15 ms of PDF","Different from PDF")))</x:f>
        <x:v>Not explicitly reported in PDF</x:v>
      </x:c>
    </x:row>
    <x:row r="221">
      <x:c r="A221" s="20" t="str">
        <x:v>DP</x:v>
      </x:c>
      <x:c r="B221" s="20" t="str">
        <x:v>Dorsal peduncular area</x:v>
      </x:c>
      <x:c r="C221" s="20" t="str">
        <x:v>Olfactory areas</x:v>
      </x:c>
      <x:c r="D221" s="24" t="n">
        <x:v>15</x:v>
      </x:c>
      <x:c r="E221" s="24" t="n">
        <x:v>318</x:v>
      </x:c>
      <x:c r="F221" s="25" t="n">
        <x:v>0.3762196848355681</x:v>
      </x:c>
      <x:c r="G221" s="25" t="n">
        <x:v>97.28289952202574</x:v>
      </x:c>
      <x:c r="H221" s="26" t="n">
        <x:v>0.968031968031968</x:v>
      </x:c>
      <x:c r="I221" s="26" t="n">
        <x:v>0.9814049586776858</x:v>
      </x:c>
      <x:c r="J221" s="27" t="b">
        <x:v>1</x:v>
      </x:c>
      <x:c r="K221" s="27" t="b">
        <x:v>0</x:v>
      </x:c>
      <x:c r="L221" s="24" t="b">
        <x:f>AND(J221,K221)</x:f>
        <x:v>0</x:v>
      </x:c>
      <x:c r="M221" s="29" t="b">
        <x:v>1</x:v>
      </x:c>
      <x:c r="N221" s="30" t="n">
        <x:v>0</x:v>
      </x:c>
      <x:c r="O221" s="31" t="n">
        <x:v>-1.17</x:v>
      </x:c>
      <x:c r="P221" s="31" t="n">
        <x:v>27.6595744680851</x:v>
      </x:c>
      <x:c r="Q221" s="31" t="n">
        <x:v>0.0702284630887083</x:v>
      </x:c>
      <x:c r="R221" s="31" t="n">
        <x:v>0</x:v>
      </x:c>
      <x:c r="S221" s="33" t="n">
        <x:f>IF(OR(G221="",P221=""),"",G221-P221)</x:f>
        <x:v>69.62332505394065</x:v>
      </x:c>
      <x:c r="T221" s="33" t="n">
        <x:f>IF(S221="","",ABS(S221))</x:f>
        <x:v>69.62332505394065</x:v>
      </x:c>
      <x:c r="U221" s="34" t="str">
        <x:f>IF(M221=FALSE,"Not analysed in paper",IF(K221=N221,"Significance agrees",IF(K221=TRUE,"User only","Paper only")))</x:f>
        <x:v>Significance agrees</x:v>
      </x:c>
      <x:c r="V221" s="34" t="str">
        <x:f>IF(M221=FALSE,"Not analysed in paper",IF(L221=FALSE,"User not reliable/significant",IF(N221=FALSE,"Paper not significant",IF(P221="","Exact paper latency unavailable",IF(T221&lt;=10,"Close (&lt;=10 ms)",IF(T221&lt;=20,"Similar (10-20 ms)","Different (&gt;20 ms)"))))))</x:f>
        <x:v>User not reliable/significant</x:v>
      </x:c>
      <x:c r="W221" s="37" t="b">
        <x:v>0</x:v>
      </x:c>
      <x:c r="X221" s="38"/>
      <x:c r="Y221" s="38"/>
      <x:c r="Z221" s="39"/>
      <x:c r="AA221" s="39" t="str">
        <x:f>IF(W221=FALSE,"Not explicitly reported in PDF",IF(AND(G221&gt;=X221,G221&lt;=Y221),"Within PDF value/range",IF(MIN(ABS(G221-X221),ABS(G221-Y221))&lt;=15,"Within 15 ms of PDF","Different from PDF")))</x:f>
        <x:v>Not explicitly reported in PDF</x:v>
      </x:c>
    </x:row>
    <x:row r="222">
      <x:c r="A222" s="20" t="str">
        <x:v>MOB</x:v>
      </x:c>
      <x:c r="B222" s="20" t="str">
        <x:v>Main olfactory bulb</x:v>
      </x:c>
      <x:c r="C222" s="20" t="str">
        <x:v>Olfactory areas</x:v>
      </x:c>
      <x:c r="D222" s="24" t="n">
        <x:v>3</x:v>
      </x:c>
      <x:c r="E222" s="24" t="n">
        <x:v>140</x:v>
      </x:c>
      <x:c r="F222" s="25" t="n">
        <x:v>1.0561120043682657</x:v>
      </x:c>
      <x:c r="G222" s="25" t="n">
        <x:v>12</x:v>
      </x:c>
      <x:c r="H222" s="26" t="n">
        <x:v>0.3166833166833167</x:v>
      </x:c>
      <x:c r="I222" s="26" t="n">
        <x:v>0.4706020236746494</x:v>
      </x:c>
      <x:c r="J222" s="27" t="b">
        <x:v>1</x:v>
      </x:c>
      <x:c r="K222" s="27" t="b">
        <x:v>0</x:v>
      </x:c>
      <x:c r="L222" s="24" t="b">
        <x:f>AND(J222,K222)</x:f>
        <x:v>0</x:v>
      </x:c>
      <x:c r="M222" s="29" t="b">
        <x:v>1</x:v>
      </x:c>
      <x:c r="N222" s="30" t="n">
        <x:v>0</x:v>
      </x:c>
      <x:c r="O222" s="31" t="n">
        <x:v>-1.09</x:v>
      </x:c>
      <x:c r="P222" s="31"/>
      <x:c r="Q222" s="31"/>
      <x:c r="R222" s="31"/>
      <x:c r="S222" s="33" t="str">
        <x:f>IF(OR(G222="",P222=""),"",G222-P222)</x:f>
      </x:c>
      <x:c r="T222" s="33" t="str">
        <x:f>IF(S222="","",ABS(S222))</x:f>
      </x:c>
      <x:c r="U222" s="34" t="str">
        <x:f>IF(M222=FALSE,"Not analysed in paper",IF(K222=N222,"Significance agrees",IF(K222=TRUE,"User only","Paper only")))</x:f>
        <x:v>Significance agrees</x:v>
      </x:c>
      <x:c r="V222" s="34" t="str">
        <x:f>IF(M222=FALSE,"Not analysed in paper",IF(L222=FALSE,"User not reliable/significant",IF(N222=FALSE,"Paper not significant",IF(P222="","Exact paper latency unavailable",IF(T222&lt;=10,"Close (&lt;=10 ms)",IF(T222&lt;=20,"Similar (10-20 ms)","Different (&gt;20 ms)"))))))</x:f>
        <x:v>User not reliable/significant</x:v>
      </x:c>
      <x:c r="W222" s="37" t="b">
        <x:v>0</x:v>
      </x:c>
      <x:c r="X222" s="38"/>
      <x:c r="Y222" s="38"/>
      <x:c r="Z222" s="39"/>
      <x:c r="AA222" s="39" t="str">
        <x:f>IF(W222=FALSE,"Not explicitly reported in PDF",IF(AND(G222&gt;=X222,G222&lt;=Y222),"Within PDF value/range",IF(MIN(ABS(G222-X222),ABS(G222-Y222))&lt;=15,"Within 15 ms of PDF","Different from PDF")))</x:f>
        <x:v>Not explicitly reported in PDF</x:v>
      </x:c>
    </x:row>
    <x:row r="223">
      <x:c r="A223" s="20" t="str">
        <x:v>PAA</x:v>
      </x:c>
      <x:c r="B223" s="20" t="str">
        <x:v>Piriform-amygdalar area</x:v>
      </x:c>
      <x:c r="C223" s="20" t="str">
        <x:v>Olfactory areas</x:v>
      </x:c>
      <x:c r="D223" s="24" t="n">
        <x:v>4</x:v>
      </x:c>
      <x:c r="E223" s="24" t="n">
        <x:v>82</x:v>
      </x:c>
      <x:c r="F223" s="25" t="n">
        <x:v>0.672142565768683</x:v>
      </x:c>
      <x:c r="G223" s="25" t="n">
        <x:v>20.441260308121432</x:v>
      </x:c>
      <x:c r="H223" s="26" t="n">
        <x:v>0.3306693306693307</x:v>
      </x:c>
      <x:c r="I223" s="26" t="n">
        <x:v>0.4859560329173589</x:v>
      </x:c>
      <x:c r="J223" s="27" t="b">
        <x:v>1</x:v>
      </x:c>
      <x:c r="K223" s="27" t="b">
        <x:v>0</x:v>
      </x:c>
      <x:c r="L223" s="24" t="b">
        <x:f>AND(J223,K223)</x:f>
        <x:v>0</x:v>
      </x:c>
      <x:c r="M223" s="29" t="b">
        <x:v>1</x:v>
      </x:c>
      <x:c r="N223" s="30" t="n">
        <x:v>0</x:v>
      </x:c>
      <x:c r="O223" s="31" t="n">
        <x:v>-1.1</x:v>
      </x:c>
      <x:c r="P223" s="31"/>
      <x:c r="Q223" s="31"/>
      <x:c r="R223" s="31"/>
      <x:c r="S223" s="33" t="str">
        <x:f>IF(OR(G223="",P223=""),"",G223-P223)</x:f>
      </x:c>
      <x:c r="T223" s="33" t="str">
        <x:f>IF(S223="","",ABS(S223))</x:f>
      </x:c>
      <x:c r="U223" s="34" t="str">
        <x:f>IF(M223=FALSE,"Not analysed in paper",IF(K223=N223,"Significance agrees",IF(K223=TRUE,"User only","Paper only")))</x:f>
        <x:v>Significance agrees</x:v>
      </x:c>
      <x:c r="V223" s="34" t="str">
        <x:f>IF(M223=FALSE,"Not analysed in paper",IF(L223=FALSE,"User not reliable/significant",IF(N223=FALSE,"Paper not significant",IF(P223="","Exact paper latency unavailable",IF(T223&lt;=10,"Close (&lt;=10 ms)",IF(T223&lt;=20,"Similar (10-20 ms)","Different (&gt;20 ms)"))))))</x:f>
        <x:v>User not reliable/significant</x:v>
      </x:c>
      <x:c r="W223" s="37" t="b">
        <x:v>0</x:v>
      </x:c>
      <x:c r="X223" s="38"/>
      <x:c r="Y223" s="38"/>
      <x:c r="Z223" s="39"/>
      <x:c r="AA223" s="39" t="str">
        <x:f>IF(W223=FALSE,"Not explicitly reported in PDF",IF(AND(G223&gt;=X223,G223&lt;=Y223),"Within PDF value/range",IF(MIN(ABS(G223-X223),ABS(G223-Y223))&lt;=15,"Within 15 ms of PDF","Different from PDF")))</x:f>
        <x:v>Not explicitly reported in PDF</x:v>
      </x:c>
    </x:row>
    <x:row r="224">
      <x:c r="A224" s="20" t="str">
        <x:v>PIR</x:v>
      </x:c>
      <x:c r="B224" s="20" t="str">
        <x:v>Piriform area</x:v>
      </x:c>
      <x:c r="C224" s="20" t="str">
        <x:v>Olfactory areas</x:v>
      </x:c>
      <x:c r="D224" s="24" t="n">
        <x:v>29</x:v>
      </x:c>
      <x:c r="E224" s="24" t="n">
        <x:v>614</x:v>
      </x:c>
      <x:c r="F224" s="25" t="n">
        <x:v>0.3793828604238185</x:v>
      </x:c>
      <x:c r="G224" s="25" t="n">
        <x:v>14.11824925142343</x:v>
      </x:c>
      <x:c r="H224" s="26" t="n">
        <x:v>0.7112887112887113</x:v>
      </x:c>
      <x:c r="I224" s="26" t="n">
        <x:v>0.7916435029405741</x:v>
      </x:c>
      <x:c r="J224" s="27" t="b">
        <x:v>1</x:v>
      </x:c>
      <x:c r="K224" s="27" t="b">
        <x:v>0</x:v>
      </x:c>
      <x:c r="L224" s="24" t="b">
        <x:f>AND(J224,K224)</x:f>
        <x:v>0</x:v>
      </x:c>
      <x:c r="M224" s="29" t="b">
        <x:v>1</x:v>
      </x:c>
      <x:c r="N224" s="30" t="n">
        <x:v>0</x:v>
      </x:c>
      <x:c r="O224" s="31" t="n">
        <x:v>-1.37</x:v>
      </x:c>
      <x:c r="P224" s="31" t="n">
        <x:v>29.7872340425531</x:v>
      </x:c>
      <x:c r="Q224" s="31" t="n">
        <x:v>0.0395601558728322</x:v>
      </x:c>
      <x:c r="R224" s="31" t="n">
        <x:v>0</x:v>
      </x:c>
      <x:c r="S224" s="33" t="n">
        <x:f>IF(OR(G224="",P224=""),"",G224-P224)</x:f>
        <x:v>-15.668984791129668</x:v>
      </x:c>
      <x:c r="T224" s="33" t="n">
        <x:f>IF(S224="","",ABS(S224))</x:f>
        <x:v>15.668984791129668</x:v>
      </x:c>
      <x:c r="U224" s="34" t="str">
        <x:f>IF(M224=FALSE,"Not analysed in paper",IF(K224=N224,"Significance agrees",IF(K224=TRUE,"User only","Paper only")))</x:f>
        <x:v>Significance agrees</x:v>
      </x:c>
      <x:c r="V224" s="34" t="str">
        <x:f>IF(M224=FALSE,"Not analysed in paper",IF(L224=FALSE,"User not reliable/significant",IF(N224=FALSE,"Paper not significant",IF(P224="","Exact paper latency unavailable",IF(T224&lt;=10,"Close (&lt;=10 ms)",IF(T224&lt;=20,"Similar (10-20 ms)","Different (&gt;20 ms)"))))))</x:f>
        <x:v>User not reliable/significant</x:v>
      </x:c>
      <x:c r="W224" s="37" t="b">
        <x:v>0</x:v>
      </x:c>
      <x:c r="X224" s="38"/>
      <x:c r="Y224" s="38"/>
      <x:c r="Z224" s="39"/>
      <x:c r="AA224" s="39" t="str">
        <x:f>IF(W224=FALSE,"Not explicitly reported in PDF",IF(AND(G224&gt;=X224,G224&lt;=Y224),"Within PDF value/range",IF(MIN(ABS(G224-X224),ABS(G224-Y224))&lt;=15,"Within 15 ms of PDF","Different from PDF")))</x:f>
        <x:v>Not explicitly reported in PDF</x:v>
      </x:c>
    </x:row>
    <x:row r="225">
      <x:c r="A225" s="20" t="str">
        <x:v>TR</x:v>
      </x:c>
      <x:c r="B225" s="20" t="str">
        <x:v>Postpiriform transition area</x:v>
      </x:c>
      <x:c r="C225" s="20" t="str">
        <x:v>Olfactory areas</x:v>
      </x:c>
      <x:c r="D225" s="24" t="n">
        <x:v>5</x:v>
      </x:c>
      <x:c r="E225" s="24" t="n">
        <x:v>37</x:v>
      </x:c>
      <x:c r="F225" s="25" t="n">
        <x:v>0.8687423304210031</x:v>
      </x:c>
      <x:c r="G225" s="25" t="n">
        <x:v>34.177914694435536</x:v>
      </x:c>
      <x:c r="H225" s="26" t="n">
        <x:v>0.972027972027972</x:v>
      </x:c>
      <x:c r="I225" s="26" t="n">
        <x:v>0.9814049586776858</x:v>
      </x:c>
      <x:c r="J225" s="27" t="b">
        <x:v>1</x:v>
      </x:c>
      <x:c r="K225" s="27" t="b">
        <x:v>0</x:v>
      </x:c>
      <x:c r="L225" s="24" t="b">
        <x:f>AND(J225,K225)</x:f>
        <x:v>0</x:v>
      </x:c>
      <x:c r="M225" s="29" t="b">
        <x:v>1</x:v>
      </x:c>
      <x:c r="N225" s="30" t="n">
        <x:v>0</x:v>
      </x:c>
      <x:c r="O225" s="31" t="n">
        <x:v>-0.93</x:v>
      </x:c>
      <x:c r="P225" s="31"/>
      <x:c r="Q225" s="31"/>
      <x:c r="R225" s="31"/>
      <x:c r="S225" s="33" t="str">
        <x:f>IF(OR(G225="",P225=""),"",G225-P225)</x:f>
      </x:c>
      <x:c r="T225" s="33" t="str">
        <x:f>IF(S225="","",ABS(S225))</x:f>
      </x:c>
      <x:c r="U225" s="34" t="str">
        <x:f>IF(M225=FALSE,"Not analysed in paper",IF(K225=N225,"Significance agrees",IF(K225=TRUE,"User only","Paper only")))</x:f>
        <x:v>Significance agrees</x:v>
      </x:c>
      <x:c r="V225" s="34" t="str">
        <x:f>IF(M225=FALSE,"Not analysed in paper",IF(L225=FALSE,"User not reliable/significant",IF(N225=FALSE,"Paper not significant",IF(P225="","Exact paper latency unavailable",IF(T225&lt;=10,"Close (&lt;=10 ms)",IF(T225&lt;=20,"Similar (10-20 ms)","Different (&gt;20 ms)"))))))</x:f>
        <x:v>User not reliable/significant</x:v>
      </x:c>
      <x:c r="W225" s="37" t="b">
        <x:v>0</x:v>
      </x:c>
      <x:c r="X225" s="38"/>
      <x:c r="Y225" s="38"/>
      <x:c r="Z225" s="39"/>
      <x:c r="AA225" s="39" t="str">
        <x:f>IF(W225=FALSE,"Not explicitly reported in PDF",IF(AND(G225&gt;=X225,G225&lt;=Y225),"Within PDF value/range",IF(MIN(ABS(G225-X225),ABS(G225-Y225))&lt;=15,"Within 15 ms of PDF","Different from PDF")))</x:f>
        <x:v>Not explicitly reported in PDF</x:v>
      </x:c>
    </x:row>
    <x:row r="226">
      <x:c r="A226" s="20" t="str">
        <x:v>TTd</x:v>
      </x:c>
      <x:c r="B226" s="20" t="str">
        <x:v>Taenia tecta dorsal part</x:v>
      </x:c>
      <x:c r="C226" s="20" t="str">
        <x:v>Olfactory areas</x:v>
      </x:c>
      <x:c r="D226" s="24" t="n">
        <x:v>12</x:v>
      </x:c>
      <x:c r="E226" s="24" t="n">
        <x:v>270</x:v>
      </x:c>
      <x:c r="F226" s="25" t="n">
        <x:v>0.7270644077400199</x:v>
      </x:c>
      <x:c r="G226" s="25" t="n">
        <x:v>101.53513267284087</x:v>
      </x:c>
      <x:c r="H226" s="26" t="n">
        <x:v>0.1798201798201798</x:v>
      </x:c>
      <x:c r="I226" s="26" t="n">
        <x:v>0.3146853146853146</x:v>
      </x:c>
      <x:c r="J226" s="27" t="b">
        <x:v>1</x:v>
      </x:c>
      <x:c r="K226" s="27" t="b">
        <x:v>0</x:v>
      </x:c>
      <x:c r="L226" s="24" t="b">
        <x:f>AND(J226,K226)</x:f>
        <x:v>0</x:v>
      </x:c>
      <x:c r="M226" s="29" t="b">
        <x:v>1</x:v>
      </x:c>
      <x:c r="N226" s="30" t="n">
        <x:v>0</x:v>
      </x:c>
      <x:c r="O226" s="31" t="n">
        <x:v>-1.17</x:v>
      </x:c>
      <x:c r="P226" s="31" t="n">
        <x:v>2.1276595744680002</x:v>
      </x:c>
      <x:c r="Q226" s="31" t="n">
        <x:v>0.0638111910051753</x:v>
      </x:c>
      <x:c r="R226" s="31" t="n">
        <x:v>0</x:v>
      </x:c>
      <x:c r="S226" s="33" t="n">
        <x:f>IF(OR(G226="",P226=""),"",G226-P226)</x:f>
        <x:v>99.40747309837288</x:v>
      </x:c>
      <x:c r="T226" s="33" t="n">
        <x:f>IF(S226="","",ABS(S226))</x:f>
        <x:v>99.40747309837288</x:v>
      </x:c>
      <x:c r="U226" s="34" t="str">
        <x:f>IF(M226=FALSE,"Not analysed in paper",IF(K226=N226,"Significance agrees",IF(K226=TRUE,"User only","Paper only")))</x:f>
        <x:v>Significance agrees</x:v>
      </x:c>
      <x:c r="V226" s="34" t="str">
        <x:f>IF(M226=FALSE,"Not analysed in paper",IF(L226=FALSE,"User not reliable/significant",IF(N226=FALSE,"Paper not significant",IF(P226="","Exact paper latency unavailable",IF(T226&lt;=10,"Close (&lt;=10 ms)",IF(T226&lt;=20,"Similar (10-20 ms)","Different (&gt;20 ms)"))))))</x:f>
        <x:v>User not reliable/significant</x:v>
      </x:c>
      <x:c r="W226" s="37" t="b">
        <x:v>0</x:v>
      </x:c>
      <x:c r="X226" s="38"/>
      <x:c r="Y226" s="38"/>
      <x:c r="Z226" s="39"/>
      <x:c r="AA226" s="39" t="str">
        <x:f>IF(W226=FALSE,"Not explicitly reported in PDF",IF(AND(G226&gt;=X226,G226&lt;=Y226),"Within PDF value/range",IF(MIN(ABS(G226-X226),ABS(G226-Y226))&lt;=15,"Within 15 ms of PDF","Different from PDF")))</x:f>
        <x:v>Not explicitly reported in PDF</x:v>
      </x:c>
    </x:row>
    <x:row r="227">
      <x:c r="A227" s="20" t="str">
        <x:v>AD</x:v>
      </x:c>
      <x:c r="B227" s="20" t="str">
        <x:v>Anterodorsal nucleus</x:v>
      </x:c>
      <x:c r="C227" s="20" t="str">
        <x:v>Thalamus</x:v>
      </x:c>
      <x:c r="D227" s="24" t="n">
        <x:v>3</x:v>
      </x:c>
      <x:c r="E227" s="24" t="n">
        <x:v>15</x:v>
      </x:c>
      <x:c r="F227" s="25" t="n">
        <x:v>5.197864202056312</x:v>
      </x:c>
      <x:c r="G227" s="25" t="n">
        <x:v>81.91767007521442</x:v>
      </x:c>
      <x:c r="H227" s="26" t="n">
        <x:v>0.1358641358641358</x:v>
      </x:c>
      <x:c r="I227" s="26" t="n">
        <x:v>0.2563110648217031</x:v>
      </x:c>
      <x:c r="J227" s="27" t="b">
        <x:v>0</x:v>
      </x:c>
      <x:c r="K227" s="27" t="b">
        <x:v>0</x:v>
      </x:c>
      <x:c r="L227" s="24" t="b">
        <x:f>AND(J227,K227)</x:f>
        <x:v>0</x:v>
      </x:c>
      <x:c r="M227" s="29" t="b">
        <x:v>0</x:v>
      </x:c>
      <x:c r="N227" s="30"/>
      <x:c r="O227" s="31"/>
      <x:c r="P227" s="31"/>
      <x:c r="Q227" s="31"/>
      <x:c r="R227" s="31"/>
      <x:c r="S227" s="33" t="str">
        <x:f>IF(OR(G227="",P227=""),"",G227-P227)</x:f>
      </x:c>
      <x:c r="T227" s="33" t="str">
        <x:f>IF(S227="","",ABS(S227))</x:f>
      </x:c>
      <x:c r="U227" s="34" t="str">
        <x:f>IF(M227=FALSE,"Not analysed in paper",IF(K227=N227,"Significance agrees",IF(K227=TRUE,"User only","Paper only")))</x:f>
        <x:v>Not analysed in paper</x:v>
      </x:c>
      <x:c r="V227" s="34" t="str">
        <x:f>IF(M227=FALSE,"Not analysed in paper",IF(L227=FALSE,"User not reliable/significant",IF(N227=FALSE,"Paper not significant",IF(P227="","Exact paper latency unavailable",IF(T227&lt;=10,"Close (&lt;=10 ms)",IF(T227&lt;=20,"Similar (10-20 ms)","Different (&gt;20 ms)"))))))</x:f>
        <x:v>Not analysed in paper</x:v>
      </x:c>
      <x:c r="W227" s="37" t="b">
        <x:v>0</x:v>
      </x:c>
      <x:c r="X227" s="38"/>
      <x:c r="Y227" s="38"/>
      <x:c r="Z227" s="39"/>
      <x:c r="AA227" s="39" t="str">
        <x:f>IF(W227=FALSE,"Not explicitly reported in PDF",IF(AND(G227&gt;=X227,G227&lt;=Y227),"Within PDF value/range",IF(MIN(ABS(G227-X227),ABS(G227-Y227))&lt;=15,"Within 15 ms of PDF","Different from PDF")))</x:f>
        <x:v>Not explicitly reported in PDF</x:v>
      </x:c>
    </x:row>
    <x:row r="228">
      <x:c r="A228" s="20" t="str">
        <x:v>AM</x:v>
      </x:c>
      <x:c r="B228" s="20" t="str">
        <x:v>Anteromedial nucleus</x:v>
      </x:c>
      <x:c r="C228" s="20" t="str">
        <x:v>Thalamus</x:v>
      </x:c>
      <x:c r="D228" s="24" t="n">
        <x:v>8</x:v>
      </x:c>
      <x:c r="E228" s="24" t="n">
        <x:v>128</x:v>
      </x:c>
      <x:c r="F228" s="25" t="n">
        <x:v>1.4727799733377518</x:v>
      </x:c>
      <x:c r="G228" s="25" t="n">
        <x:v>119.82442817773207</x:v>
      </x:c>
      <x:c r="H228" s="26" t="n">
        <x:v>0.0549450549450549</x:v>
      </x:c>
      <x:c r="I228" s="26" t="n">
        <x:v>0.1249178172255095</x:v>
      </x:c>
      <x:c r="J228" s="27" t="b">
        <x:v>1</x:v>
      </x:c>
      <x:c r="K228" s="27" t="b">
        <x:v>0</x:v>
      </x:c>
      <x:c r="L228" s="24" t="b">
        <x:f>AND(J228,K228)</x:f>
        <x:v>0</x:v>
      </x:c>
      <x:c r="M228" s="29" t="b">
        <x:v>1</x:v>
      </x:c>
      <x:c r="N228" s="30" t="n">
        <x:v>0</x:v>
      </x:c>
      <x:c r="O228" s="31" t="n">
        <x:v>-0.98</x:v>
      </x:c>
      <x:c r="P228" s="31" t="n">
        <x:v>65.9574468085106</x:v>
      </x:c>
      <x:c r="Q228" s="31" t="n">
        <x:v>0.1013570763641293</x:v>
      </x:c>
      <x:c r="R228" s="31" t="n">
        <x:v>0</x:v>
      </x:c>
      <x:c r="S228" s="33" t="n">
        <x:f>IF(OR(G228="",P228=""),"",G228-P228)</x:f>
        <x:v>53.86698136922148</x:v>
      </x:c>
      <x:c r="T228" s="33" t="n">
        <x:f>IF(S228="","",ABS(S228))</x:f>
        <x:v>53.86698136922148</x:v>
      </x:c>
      <x:c r="U228" s="34" t="str">
        <x:f>IF(M228=FALSE,"Not analysed in paper",IF(K228=N228,"Significance agrees",IF(K228=TRUE,"User only","Paper only")))</x:f>
        <x:v>Significance agrees</x:v>
      </x:c>
      <x:c r="V228" s="34" t="str">
        <x:f>IF(M228=FALSE,"Not analysed in paper",IF(L228=FALSE,"User not reliable/significant",IF(N228=FALSE,"Paper not significant",IF(P228="","Exact paper latency unavailable",IF(T228&lt;=10,"Close (&lt;=10 ms)",IF(T228&lt;=20,"Similar (10-20 ms)","Different (&gt;20 ms)"))))))</x:f>
        <x:v>User not reliable/significant</x:v>
      </x:c>
      <x:c r="W228" s="37" t="b">
        <x:v>0</x:v>
      </x:c>
      <x:c r="X228" s="38"/>
      <x:c r="Y228" s="38"/>
      <x:c r="Z228" s="39"/>
      <x:c r="AA228" s="39" t="str">
        <x:f>IF(W228=FALSE,"Not explicitly reported in PDF",IF(AND(G228&gt;=X228,G228&lt;=Y228),"Within PDF value/range",IF(MIN(ABS(G228-X228),ABS(G228-Y228))&lt;=15,"Within 15 ms of PDF","Different from PDF")))</x:f>
        <x:v>Not explicitly reported in PDF</x:v>
      </x:c>
    </x:row>
    <x:row r="229">
      <x:c r="A229" s="20" t="str">
        <x:v>AV</x:v>
      </x:c>
      <x:c r="B229" s="20" t="str">
        <x:v>Anteroventral nucleus of thalamus</x:v>
      </x:c>
      <x:c r="C229" s="20" t="str">
        <x:v>Thalamus</x:v>
      </x:c>
      <x:c r="D229" s="24" t="n">
        <x:v>9</x:v>
      </x:c>
      <x:c r="E229" s="24" t="n">
        <x:v>203</x:v>
      </x:c>
      <x:c r="F229" s="25" t="n">
        <x:v>1.5270565561227571</x:v>
      </x:c>
      <x:c r="G229" s="25" t="n">
        <x:v>97.11381809147616</x:v>
      </x:c>
      <x:c r="H229" s="26" t="n">
        <x:v>0.0199800199800199</x:v>
      </x:c>
      <x:c r="I229" s="26" t="n">
        <x:v>0.0617986664498292</x:v>
      </x:c>
      <x:c r="J229" s="27" t="b">
        <x:v>1</x:v>
      </x:c>
      <x:c r="K229" s="27" t="b">
        <x:v>0</x:v>
      </x:c>
      <x:c r="L229" s="24" t="b">
        <x:f>AND(J229,K229)</x:f>
        <x:v>0</x:v>
      </x:c>
      <x:c r="M229" s="29" t="b">
        <x:v>1</x:v>
      </x:c>
      <x:c r="N229" s="30" t="n">
        <x:v>1</x:v>
      </x:c>
      <x:c r="O229" s="31" t="n">
        <x:v>-0.8</x:v>
      </x:c>
      <x:c r="P229" s="31" t="n">
        <x:v>27.6595744680851</x:v>
      </x:c>
      <x:c r="Q229" s="31" t="n">
        <x:v>0.1236446712172623</x:v>
      </x:c>
      <x:c r="R229" s="31" t="n">
        <x:v>1</x:v>
      </x:c>
      <x:c r="S229" s="33" t="n">
        <x:f>IF(OR(G229="",P229=""),"",G229-P229)</x:f>
        <x:v>69.45424362339106</x:v>
      </x:c>
      <x:c r="T229" s="33" t="n">
        <x:f>IF(S229="","",ABS(S229))</x:f>
        <x:v>69.45424362339106</x:v>
      </x:c>
      <x:c r="U229" s="34" t="str">
        <x:f>IF(M229=FALSE,"Not analysed in paper",IF(K229=N229,"Significance agrees",IF(K229=TRUE,"User only","Paper only")))</x:f>
        <x:v>Paper only</x:v>
      </x:c>
      <x:c r="V229" s="34" t="str">
        <x:f>IF(M229=FALSE,"Not analysed in paper",IF(L229=FALSE,"User not reliable/significant",IF(N229=FALSE,"Paper not significant",IF(P229="","Exact paper latency unavailable",IF(T229&lt;=10,"Close (&lt;=10 ms)",IF(T229&lt;=20,"Similar (10-20 ms)","Different (&gt;20 ms)"))))))</x:f>
        <x:v>User not reliable/significant</x:v>
      </x:c>
      <x:c r="W229" s="37" t="b">
        <x:v>0</x:v>
      </x:c>
      <x:c r="X229" s="38"/>
      <x:c r="Y229" s="38"/>
      <x:c r="Z229" s="39"/>
      <x:c r="AA229" s="39" t="str">
        <x:f>IF(W229=FALSE,"Not explicitly reported in PDF",IF(AND(G229&gt;=X229,G229&lt;=Y229),"Within PDF value/range",IF(MIN(ABS(G229-X229),ABS(G229-Y229))&lt;=15,"Within 15 ms of PDF","Different from PDF")))</x:f>
        <x:v>Not explicitly reported in PDF</x:v>
      </x:c>
    </x:row>
    <x:row r="230">
      <x:c r="A230" s="20" t="str">
        <x:v>CL</x:v>
      </x:c>
      <x:c r="B230" s="20" t="str">
        <x:v>Central lateral nucleus of the thalamus</x:v>
      </x:c>
      <x:c r="C230" s="20" t="str">
        <x:v>Thalamus</x:v>
      </x:c>
      <x:c r="D230" s="24" t="n">
        <x:v>9</x:v>
      </x:c>
      <x:c r="E230" s="24" t="n">
        <x:v>38</x:v>
      </x:c>
      <x:c r="F230" s="25" t="n">
        <x:v>7.038790064362532</x:v>
      </x:c>
      <x:c r="G230" s="25" t="n">
        <x:v>81.21672103963965</x:v>
      </x:c>
      <x:c r="H230" s="26" t="n">
        <x:v>0.0009990009990009</x:v>
      </x:c>
      <x:c r="I230" s="26" t="n">
        <x:v>0.0066433566433566</x:v>
      </x:c>
      <x:c r="J230" s="27" t="b">
        <x:v>1</x:v>
      </x:c>
      <x:c r="K230" s="27" t="b">
        <x:v>1</x:v>
      </x:c>
      <x:c r="L230" s="24" t="b">
        <x:f>AND(J230,K230)</x:f>
        <x:v>1</x:v>
      </x:c>
      <x:c r="M230" s="29" t="b">
        <x:v>1</x:v>
      </x:c>
      <x:c r="N230" s="30" t="n">
        <x:v>1</x:v>
      </x:c>
      <x:c r="O230" s="31" t="n">
        <x:v>0.02</x:v>
      </x:c>
      <x:c r="P230" s="31"/>
      <x:c r="Q230" s="31"/>
      <x:c r="R230" s="31"/>
      <x:c r="S230" s="33" t="str">
        <x:f>IF(OR(G230="",P230=""),"",G230-P230)</x:f>
      </x:c>
      <x:c r="T230" s="33" t="str">
        <x:f>IF(S230="","",ABS(S230))</x:f>
      </x:c>
      <x:c r="U230" s="34" t="str">
        <x:f>IF(M230=FALSE,"Not analysed in paper",IF(K230=N230,"Significance agrees",IF(K230=TRUE,"User only","Paper only")))</x:f>
        <x:v>Significance agrees</x:v>
      </x:c>
      <x:c r="V230" s="34" t="str">
        <x:f>IF(M230=FALSE,"Not analysed in paper",IF(L230=FALSE,"User not reliable/significant",IF(N230=FALSE,"Paper not significant",IF(P230="","Exact paper latency unavailable",IF(T230&lt;=10,"Close (&lt;=10 ms)",IF(T230&lt;=20,"Similar (10-20 ms)","Different (&gt;20 ms)"))))))</x:f>
        <x:v>Exact paper latency unavailable</x:v>
      </x:c>
      <x:c r="W230" s="37" t="b">
        <x:v>0</x:v>
      </x:c>
      <x:c r="X230" s="38"/>
      <x:c r="Y230" s="38"/>
      <x:c r="Z230" s="39"/>
      <x:c r="AA230" s="39" t="str">
        <x:f>IF(W230=FALSE,"Not explicitly reported in PDF",IF(AND(G230&gt;=X230,G230&lt;=Y230),"Within PDF value/range",IF(MIN(ABS(G230-X230),ABS(G230-Y230))&lt;=15,"Within 15 ms of PDF","Different from PDF")))</x:f>
        <x:v>Not explicitly reported in PDF</x:v>
      </x:c>
    </x:row>
    <x:row r="231">
      <x:c r="A231" s="20" t="str">
        <x:v>CM</x:v>
      </x:c>
      <x:c r="B231" s="20" t="str">
        <x:v>Central medial nucleus of the thalamus</x:v>
      </x:c>
      <x:c r="C231" s="20" t="str">
        <x:v>Thalamus</x:v>
      </x:c>
      <x:c r="D231" s="24" t="n">
        <x:v>6</x:v>
      </x:c>
      <x:c r="E231" s="24" t="n">
        <x:v>65</x:v>
      </x:c>
      <x:c r="F231" s="25" t="n">
        <x:v>3.0058529736902617</x:v>
      </x:c>
      <x:c r="G231" s="25" t="n">
        <x:v>104.85776119389747</x:v>
      </x:c>
      <x:c r="H231" s="26" t="n">
        <x:v>0.3036963036963037</x:v>
      </x:c>
      <x:c r="I231" s="26" t="n">
        <x:v>0.4579036782426613</x:v>
      </x:c>
      <x:c r="J231" s="27" t="b">
        <x:v>1</x:v>
      </x:c>
      <x:c r="K231" s="27" t="b">
        <x:v>0</x:v>
      </x:c>
      <x:c r="L231" s="24" t="b">
        <x:f>AND(J231,K231)</x:f>
        <x:v>0</x:v>
      </x:c>
      <x:c r="M231" s="29" t="b">
        <x:v>1</x:v>
      </x:c>
      <x:c r="N231" s="30" t="n">
        <x:v>0</x:v>
      </x:c>
      <x:c r="O231" s="31" t="n">
        <x:v>-0.65</x:v>
      </x:c>
      <x:c r="P231" s="31"/>
      <x:c r="Q231" s="31"/>
      <x:c r="R231" s="31"/>
      <x:c r="S231" s="33" t="str">
        <x:f>IF(OR(G231="",P231=""),"",G231-P231)</x:f>
      </x:c>
      <x:c r="T231" s="33" t="str">
        <x:f>IF(S231="","",ABS(S231))</x:f>
      </x:c>
      <x:c r="U231" s="34" t="str">
        <x:f>IF(M231=FALSE,"Not analysed in paper",IF(K231=N231,"Significance agrees",IF(K231=TRUE,"User only","Paper only")))</x:f>
        <x:v>Significance agrees</x:v>
      </x:c>
      <x:c r="V231" s="34" t="str">
        <x:f>IF(M231=FALSE,"Not analysed in paper",IF(L231=FALSE,"User not reliable/significant",IF(N231=FALSE,"Paper not significant",IF(P231="","Exact paper latency unavailable",IF(T231&lt;=10,"Close (&lt;=10 ms)",IF(T231&lt;=20,"Similar (10-20 ms)","Different (&gt;20 ms)"))))))</x:f>
        <x:v>User not reliable/significant</x:v>
      </x:c>
      <x:c r="W231" s="37" t="b">
        <x:v>0</x:v>
      </x:c>
      <x:c r="X231" s="38"/>
      <x:c r="Y231" s="38"/>
      <x:c r="Z231" s="39"/>
      <x:c r="AA231" s="39" t="str">
        <x:f>IF(W231=FALSE,"Not explicitly reported in PDF",IF(AND(G231&gt;=X231,G231&lt;=Y231),"Within PDF value/range",IF(MIN(ABS(G231-X231),ABS(G231-Y231))&lt;=15,"Within 15 ms of PDF","Different from PDF")))</x:f>
        <x:v>Not explicitly reported in PDF</x:v>
      </x:c>
    </x:row>
    <x:row r="232">
      <x:c r="A232" s="20" t="str">
        <x:v>Eth</x:v>
      </x:c>
      <x:c r="B232" s="20" t="str">
        <x:v>Ethmoid nucleus of the thalamus</x:v>
      </x:c>
      <x:c r="C232" s="20" t="str">
        <x:v>Thalamus</x:v>
      </x:c>
      <x:c r="D232" s="24" t="n">
        <x:v>20</x:v>
      </x:c>
      <x:c r="E232" s="24" t="n">
        <x:v>366</x:v>
      </x:c>
      <x:c r="F232" s="25" t="n">
        <x:v>1.965791748014864</x:v>
      </x:c>
      <x:c r="G232" s="25" t="n">
        <x:v>132.58367748965833</x:v>
      </x:c>
      <x:c r="H232" s="26" t="n">
        <x:v>0.0449550449550449</x:v>
      </x:c>
      <x:c r="I232" s="26" t="n">
        <x:v>0.1058233801596633</x:v>
      </x:c>
      <x:c r="J232" s="27" t="b">
        <x:v>1</x:v>
      </x:c>
      <x:c r="K232" s="27" t="b">
        <x:v>0</x:v>
      </x:c>
      <x:c r="L232" s="24" t="b">
        <x:f>AND(J232,K232)</x:f>
        <x:v>0</x:v>
      </x:c>
      <x:c r="M232" s="29" t="b">
        <x:v>1</x:v>
      </x:c>
      <x:c r="N232" s="30" t="n">
        <x:v>1</x:v>
      </x:c>
      <x:c r="O232" s="31" t="n">
        <x:v>-0.96</x:v>
      </x:c>
      <x:c r="P232" s="31" t="n">
        <x:v>55.3191489361702</x:v>
      </x:c>
      <x:c r="Q232" s="31" t="n">
        <x:v>0.1339108341671335</x:v>
      </x:c>
      <x:c r="R232" s="31" t="n">
        <x:v>1</x:v>
      </x:c>
      <x:c r="S232" s="33" t="n">
        <x:f>IF(OR(G232="",P232=""),"",G232-P232)</x:f>
        <x:v>77.26452855348813</x:v>
      </x:c>
      <x:c r="T232" s="33" t="n">
        <x:f>IF(S232="","",ABS(S232))</x:f>
        <x:v>77.26452855348813</x:v>
      </x:c>
      <x:c r="U232" s="34" t="str">
        <x:f>IF(M232=FALSE,"Not analysed in paper",IF(K232=N232,"Significance agrees",IF(K232=TRUE,"User only","Paper only")))</x:f>
        <x:v>Paper only</x:v>
      </x:c>
      <x:c r="V232" s="34" t="str">
        <x:f>IF(M232=FALSE,"Not analysed in paper",IF(L232=FALSE,"User not reliable/significant",IF(N232=FALSE,"Paper not significant",IF(P232="","Exact paper latency unavailable",IF(T232&lt;=10,"Close (&lt;=10 ms)",IF(T232&lt;=20,"Similar (10-20 ms)","Different (&gt;20 ms)"))))))</x:f>
        <x:v>User not reliable/significant</x:v>
      </x:c>
      <x:c r="W232" s="37" t="b">
        <x:v>0</x:v>
      </x:c>
      <x:c r="X232" s="38"/>
      <x:c r="Y232" s="38"/>
      <x:c r="Z232" s="39"/>
      <x:c r="AA232" s="39" t="str">
        <x:f>IF(W232=FALSE,"Not explicitly reported in PDF",IF(AND(G232&gt;=X232,G232&lt;=Y232),"Within PDF value/range",IF(MIN(ABS(G232-X232),ABS(G232-Y232))&lt;=15,"Within 15 ms of PDF","Different from PDF")))</x:f>
        <x:v>Not explicitly reported in PDF</x:v>
      </x:c>
    </x:row>
    <x:row r="233">
      <x:c r="A233" s="20" t="str">
        <x:v>IAD</x:v>
      </x:c>
      <x:c r="B233" s="20" t="str">
        <x:v>Interanterodorsal nucleus of the thalamus</x:v>
      </x:c>
      <x:c r="C233" s="20" t="str">
        <x:v>Thalamus</x:v>
      </x:c>
      <x:c r="D233" s="24" t="n">
        <x:v>2</x:v>
      </x:c>
      <x:c r="E233" s="24" t="n">
        <x:v>23</x:v>
      </x:c>
      <x:c r="F233" s="25" t="n">
        <x:v>1.62071177665307</x:v>
      </x:c>
      <x:c r="G233" s="25" t="n">
        <x:v>131.00724893946392</x:v>
      </x:c>
      <x:c r="H233" s="26" t="n">
        <x:v>0.8591408591408591</x:v>
      </x:c>
      <x:c r="I233" s="26" t="n">
        <x:v>0.9177970623753756</x:v>
      </x:c>
      <x:c r="J233" s="27" t="b">
        <x:v>1</x:v>
      </x:c>
      <x:c r="K233" s="27" t="b">
        <x:v>0</x:v>
      </x:c>
      <x:c r="L233" s="24" t="b">
        <x:f>AND(J233,K233)</x:f>
        <x:v>0</x:v>
      </x:c>
      <x:c r="M233" s="29" t="b">
        <x:v>1</x:v>
      </x:c>
      <x:c r="N233" s="30" t="n">
        <x:v>0</x:v>
      </x:c>
      <x:c r="O233" s="31" t="n">
        <x:v>-0.81</x:v>
      </x:c>
      <x:c r="P233" s="31"/>
      <x:c r="Q233" s="31"/>
      <x:c r="R233" s="31"/>
      <x:c r="S233" s="33" t="str">
        <x:f>IF(OR(G233="",P233=""),"",G233-P233)</x:f>
      </x:c>
      <x:c r="T233" s="33" t="str">
        <x:f>IF(S233="","",ABS(S233))</x:f>
      </x:c>
      <x:c r="U233" s="34" t="str">
        <x:f>IF(M233=FALSE,"Not analysed in paper",IF(K233=N233,"Significance agrees",IF(K233=TRUE,"User only","Paper only")))</x:f>
        <x:v>Significance agrees</x:v>
      </x:c>
      <x:c r="V233" s="34" t="str">
        <x:f>IF(M233=FALSE,"Not analysed in paper",IF(L233=FALSE,"User not reliable/significant",IF(N233=FALSE,"Paper not significant",IF(P233="","Exact paper latency unavailable",IF(T233&lt;=10,"Close (&lt;=10 ms)",IF(T233&lt;=20,"Similar (10-20 ms)","Different (&gt;20 ms)"))))))</x:f>
        <x:v>User not reliable/significant</x:v>
      </x:c>
      <x:c r="W233" s="37" t="b">
        <x:v>0</x:v>
      </x:c>
      <x:c r="X233" s="38"/>
      <x:c r="Y233" s="38"/>
      <x:c r="Z233" s="39"/>
      <x:c r="AA233" s="39" t="str">
        <x:f>IF(W233=FALSE,"Not explicitly reported in PDF",IF(AND(G233&gt;=X233,G233&lt;=Y233),"Within PDF value/range",IF(MIN(ABS(G233-X233),ABS(G233-Y233))&lt;=15,"Within 15 ms of PDF","Different from PDF")))</x:f>
        <x:v>Not explicitly reported in PDF</x:v>
      </x:c>
    </x:row>
    <x:row r="234">
      <x:c r="A234" s="20" t="str">
        <x:v>IAM</x:v>
      </x:c>
      <x:c r="B234" s="20" t="str">
        <x:v>Interanteromedial nucleus of the thalamus</x:v>
      </x:c>
      <x:c r="C234" s="20" t="str">
        <x:v>Thalamus</x:v>
      </x:c>
      <x:c r="D234" s="24" t="n">
        <x:v>1</x:v>
      </x:c>
      <x:c r="E234" s="24" t="n">
        <x:v>7</x:v>
      </x:c>
      <x:c r="F234" s="25" t="n">
        <x:v>2.5557572242516757</x:v>
      </x:c>
      <x:c r="G234" s="25" t="n">
        <x:v>137.0321858000052</x:v>
      </x:c>
      <x:c r="H234" s="26" t="n">
        <x:v>0.6653346653346653</x:v>
      </x:c>
      <x:c r="I234" s="26" t="n">
        <x:v>0.7661429479611298</x:v>
      </x:c>
      <x:c r="J234" s="27" t="b">
        <x:v>0</x:v>
      </x:c>
      <x:c r="K234" s="27" t="b">
        <x:v>0</x:v>
      </x:c>
      <x:c r="L234" s="24" t="b">
        <x:f>AND(J234,K234)</x:f>
        <x:v>0</x:v>
      </x:c>
      <x:c r="M234" s="29" t="b">
        <x:v>0</x:v>
      </x:c>
      <x:c r="N234" s="30"/>
      <x:c r="O234" s="31"/>
      <x:c r="P234" s="31"/>
      <x:c r="Q234" s="31"/>
      <x:c r="R234" s="31"/>
      <x:c r="S234" s="33" t="str">
        <x:f>IF(OR(G234="",P234=""),"",G234-P234)</x:f>
      </x:c>
      <x:c r="T234" s="33" t="str">
        <x:f>IF(S234="","",ABS(S234))</x:f>
      </x:c>
      <x:c r="U234" s="34" t="str">
        <x:f>IF(M234=FALSE,"Not analysed in paper",IF(K234=N234,"Significance agrees",IF(K234=TRUE,"User only","Paper only")))</x:f>
        <x:v>Not analysed in paper</x:v>
      </x:c>
      <x:c r="V234" s="34" t="str">
        <x:f>IF(M234=FALSE,"Not analysed in paper",IF(L234=FALSE,"User not reliable/significant",IF(N234=FALSE,"Paper not significant",IF(P234="","Exact paper latency unavailable",IF(T234&lt;=10,"Close (&lt;=10 ms)",IF(T234&lt;=20,"Similar (10-20 ms)","Different (&gt;20 ms)"))))))</x:f>
        <x:v>Not analysed in paper</x:v>
      </x:c>
      <x:c r="W234" s="37" t="b">
        <x:v>0</x:v>
      </x:c>
      <x:c r="X234" s="38"/>
      <x:c r="Y234" s="38"/>
      <x:c r="Z234" s="39"/>
      <x:c r="AA234" s="39" t="str">
        <x:f>IF(W234=FALSE,"Not explicitly reported in PDF",IF(AND(G234&gt;=X234,G234&lt;=Y234),"Within PDF value/range",IF(MIN(ABS(G234-X234),ABS(G234-Y234))&lt;=15,"Within 15 ms of PDF","Different from PDF")))</x:f>
        <x:v>Not explicitly reported in PDF</x:v>
      </x:c>
    </x:row>
    <x:row r="235">
      <x:c r="A235" s="20" t="str">
        <x:v>IGL</x:v>
      </x:c>
      <x:c r="B235" s="20" t="str">
        <x:v>Intergeniculate leaflet of the lateral geniculate complex</x:v>
      </x:c>
      <x:c r="C235" s="20" t="str">
        <x:v>Thalamus</x:v>
      </x:c>
      <x:c r="D235" s="24" t="n">
        <x:v>3</x:v>
      </x:c>
      <x:c r="E235" s="24" t="n">
        <x:v>16</x:v>
      </x:c>
      <x:c r="F235" s="25" t="n">
        <x:v>2.767346008954574</x:v>
      </x:c>
      <x:c r="G235" s="25" t="n">
        <x:v>61.10252112713837</x:v>
      </x:c>
      <x:c r="H235" s="26" t="n">
        <x:v>0.4825174825174825</x:v>
      </x:c>
      <x:c r="I235" s="26" t="n">
        <x:v>0.6291649526943645</x:v>
      </x:c>
      <x:c r="J235" s="27" t="b">
        <x:v>0</x:v>
      </x:c>
      <x:c r="K235" s="27" t="b">
        <x:v>0</x:v>
      </x:c>
      <x:c r="L235" s="24" t="b">
        <x:f>AND(J235,K235)</x:f>
        <x:v>0</x:v>
      </x:c>
      <x:c r="M235" s="29" t="b">
        <x:v>0</x:v>
      </x:c>
      <x:c r="N235" s="30"/>
      <x:c r="O235" s="31"/>
      <x:c r="P235" s="31"/>
      <x:c r="Q235" s="31"/>
      <x:c r="R235" s="31"/>
      <x:c r="S235" s="33" t="str">
        <x:f>IF(OR(G235="",P235=""),"",G235-P235)</x:f>
      </x:c>
      <x:c r="T235" s="33" t="str">
        <x:f>IF(S235="","",ABS(S235))</x:f>
      </x:c>
      <x:c r="U235" s="34" t="str">
        <x:f>IF(M235=FALSE,"Not analysed in paper",IF(K235=N235,"Significance agrees",IF(K235=TRUE,"User only","Paper only")))</x:f>
        <x:v>Not analysed in paper</x:v>
      </x:c>
      <x:c r="V235" s="34" t="str">
        <x:f>IF(M235=FALSE,"Not analysed in paper",IF(L235=FALSE,"User not reliable/significant",IF(N235=FALSE,"Paper not significant",IF(P235="","Exact paper latency unavailable",IF(T235&lt;=10,"Close (&lt;=10 ms)",IF(T235&lt;=20,"Similar (10-20 ms)","Different (&gt;20 ms)"))))))</x:f>
        <x:v>Not analysed in paper</x:v>
      </x:c>
      <x:c r="W235" s="37" t="b">
        <x:v>0</x:v>
      </x:c>
      <x:c r="X235" s="38"/>
      <x:c r="Y235" s="38"/>
      <x:c r="Z235" s="39"/>
      <x:c r="AA235" s="39" t="str">
        <x:f>IF(W235=FALSE,"Not explicitly reported in PDF",IF(AND(G235&gt;=X235,G235&lt;=Y235),"Within PDF value/range",IF(MIN(ABS(G235-X235),ABS(G235-Y235))&lt;=15,"Within 15 ms of PDF","Different from PDF")))</x:f>
        <x:v>Not explicitly reported in PDF</x:v>
      </x:c>
    </x:row>
    <x:row r="236">
      <x:c r="A236" s="20" t="str">
        <x:v>IMD</x:v>
      </x:c>
      <x:c r="B236" s="20" t="str">
        <x:v>Intermediodorsal nucleus of the thalamus</x:v>
      </x:c>
      <x:c r="C236" s="20" t="str">
        <x:v>Thalamus</x:v>
      </x:c>
      <x:c r="D236" s="24" t="n">
        <x:v>1</x:v>
      </x:c>
      <x:c r="E236" s="24" t="n">
        <x:v>1</x:v>
      </x:c>
      <x:c r="F236" s="25" t="n">
        <x:v>3.016538546498423</x:v>
      </x:c>
      <x:c r="G236" s="25" t="n">
        <x:v>87.87155981821455</x:v>
      </x:c>
      <x:c r="H236" s="26" t="n">
        <x:v>0.6973026973026973</x:v>
      </x:c>
      <x:c r="I236" s="26" t="n">
        <x:v>0.7859428706886334</x:v>
      </x:c>
      <x:c r="J236" s="27" t="b">
        <x:v>0</x:v>
      </x:c>
      <x:c r="K236" s="27" t="b">
        <x:v>0</x:v>
      </x:c>
      <x:c r="L236" s="24" t="b">
        <x:f>AND(J236,K236)</x:f>
        <x:v>0</x:v>
      </x:c>
      <x:c r="M236" s="29" t="b">
        <x:v>0</x:v>
      </x:c>
      <x:c r="N236" s="30"/>
      <x:c r="O236" s="31"/>
      <x:c r="P236" s="31"/>
      <x:c r="Q236" s="31"/>
      <x:c r="R236" s="31"/>
      <x:c r="S236" s="33" t="str">
        <x:f>IF(OR(G236="",P236=""),"",G236-P236)</x:f>
      </x:c>
      <x:c r="T236" s="33" t="str">
        <x:f>IF(S236="","",ABS(S236))</x:f>
      </x:c>
      <x:c r="U236" s="34" t="str">
        <x:f>IF(M236=FALSE,"Not analysed in paper",IF(K236=N236,"Significance agrees",IF(K236=TRUE,"User only","Paper only")))</x:f>
        <x:v>Not analysed in paper</x:v>
      </x:c>
      <x:c r="V236" s="34" t="str">
        <x:f>IF(M236=FALSE,"Not analysed in paper",IF(L236=FALSE,"User not reliable/significant",IF(N236=FALSE,"Paper not significant",IF(P236="","Exact paper latency unavailable",IF(T236&lt;=10,"Close (&lt;=10 ms)",IF(T236&lt;=20,"Similar (10-20 ms)","Different (&gt;20 ms)"))))))</x:f>
        <x:v>Not analysed in paper</x:v>
      </x:c>
      <x:c r="W236" s="37" t="b">
        <x:v>0</x:v>
      </x:c>
      <x:c r="X236" s="38"/>
      <x:c r="Y236" s="38"/>
      <x:c r="Z236" s="39"/>
      <x:c r="AA236" s="39" t="str">
        <x:f>IF(W236=FALSE,"Not explicitly reported in PDF",IF(AND(G236&gt;=X236,G236&lt;=Y236),"Within PDF value/range",IF(MIN(ABS(G236-X236),ABS(G236-Y236))&lt;=15,"Within 15 ms of PDF","Different from PDF")))</x:f>
        <x:v>Not explicitly reported in PDF</x:v>
      </x:c>
    </x:row>
    <x:row r="237">
      <x:c r="A237" s="20" t="str">
        <x:v>IntG</x:v>
      </x:c>
      <x:c r="B237" s="20" t="str">
        <x:v>Intermediate geniculate nucleus</x:v>
      </x:c>
      <x:c r="C237" s="20" t="str">
        <x:v>Thalamus</x:v>
      </x:c>
      <x:c r="D237" s="24" t="n">
        <x:v>1</x:v>
      </x:c>
      <x:c r="E237" s="24" t="n">
        <x:v>6</x:v>
      </x:c>
      <x:c r="F237" s="25" t="n">
        <x:v>8.778789701786211</x:v>
      </x:c>
      <x:c r="G237" s="25" t="n">
        <x:v>54.29901417369663</x:v>
      </x:c>
      <x:c r="H237" s="26" t="n">
        <x:v>0.0319680319680319</x:v>
      </x:c>
      <x:c r="I237" s="26" t="n">
        <x:v>0.085034965034965</x:v>
      </x:c>
      <x:c r="J237" s="27" t="b">
        <x:v>0</x:v>
      </x:c>
      <x:c r="K237" s="27" t="b">
        <x:v>0</x:v>
      </x:c>
      <x:c r="L237" s="24" t="b">
        <x:f>AND(J237,K237)</x:f>
        <x:v>0</x:v>
      </x:c>
      <x:c r="M237" s="29" t="b">
        <x:v>0</x:v>
      </x:c>
      <x:c r="N237" s="30"/>
      <x:c r="O237" s="31"/>
      <x:c r="P237" s="31"/>
      <x:c r="Q237" s="31"/>
      <x:c r="R237" s="31"/>
      <x:c r="S237" s="33" t="str">
        <x:f>IF(OR(G237="",P237=""),"",G237-P237)</x:f>
      </x:c>
      <x:c r="T237" s="33" t="str">
        <x:f>IF(S237="","",ABS(S237))</x:f>
      </x:c>
      <x:c r="U237" s="34" t="str">
        <x:f>IF(M237=FALSE,"Not analysed in paper",IF(K237=N237,"Significance agrees",IF(K237=TRUE,"User only","Paper only")))</x:f>
        <x:v>Not analysed in paper</x:v>
      </x:c>
      <x:c r="V237" s="34" t="str">
        <x:f>IF(M237=FALSE,"Not analysed in paper",IF(L237=FALSE,"User not reliable/significant",IF(N237=FALSE,"Paper not significant",IF(P237="","Exact paper latency unavailable",IF(T237&lt;=10,"Close (&lt;=10 ms)",IF(T237&lt;=20,"Similar (10-20 ms)","Different (&gt;20 ms)"))))))</x:f>
        <x:v>Not analysed in paper</x:v>
      </x:c>
      <x:c r="W237" s="37" t="b">
        <x:v>0</x:v>
      </x:c>
      <x:c r="X237" s="38"/>
      <x:c r="Y237" s="38"/>
      <x:c r="Z237" s="39"/>
      <x:c r="AA237" s="39" t="str">
        <x:f>IF(W237=FALSE,"Not explicitly reported in PDF",IF(AND(G237&gt;=X237,G237&lt;=Y237),"Within PDF value/range",IF(MIN(ABS(G237-X237),ABS(G237-Y237))&lt;=15,"Within 15 ms of PDF","Different from PDF")))</x:f>
        <x:v>Not explicitly reported in PDF</x:v>
      </x:c>
    </x:row>
    <x:row r="238">
      <x:c r="A238" s="20" t="str">
        <x:v>LD</x:v>
      </x:c>
      <x:c r="B238" s="20" t="str">
        <x:v>Lateral dorsal nucleus of thalamus</x:v>
      </x:c>
      <x:c r="C238" s="20" t="str">
        <x:v>Thalamus</x:v>
      </x:c>
      <x:c r="D238" s="24" t="n">
        <x:v>22</x:v>
      </x:c>
      <x:c r="E238" s="24" t="n">
        <x:v>581</x:v>
      </x:c>
      <x:c r="F238" s="25" t="n">
        <x:v>1.3912262505219757</x:v>
      </x:c>
      <x:c r="G238" s="25" t="n">
        <x:v>53.03545342097449</x:v>
      </x:c>
      <x:c r="H238" s="26" t="n">
        <x:v>0.3916083916083916</x:v>
      </x:c>
      <x:c r="I238" s="26" t="n">
        <x:v>0.538282230589923</x:v>
      </x:c>
      <x:c r="J238" s="27" t="b">
        <x:v>1</x:v>
      </x:c>
      <x:c r="K238" s="27" t="b">
        <x:v>0</x:v>
      </x:c>
      <x:c r="L238" s="24" t="b">
        <x:f>AND(J238,K238)</x:f>
        <x:v>0</x:v>
      </x:c>
      <x:c r="M238" s="29" t="b">
        <x:v>1</x:v>
      </x:c>
      <x:c r="N238" s="30" t="n">
        <x:v>1</x:v>
      </x:c>
      <x:c r="O238" s="31" t="n">
        <x:v>-0.77</x:v>
      </x:c>
      <x:c r="P238" s="31" t="n">
        <x:v>46.808510638297804</x:v>
      </x:c>
      <x:c r="Q238" s="31" t="n">
        <x:v>0.1020333838180492</x:v>
      </x:c>
      <x:c r="R238" s="31" t="n">
        <x:v>1</x:v>
      </x:c>
      <x:c r="S238" s="33" t="n">
        <x:f>IF(OR(G238="",P238=""),"",G238-P238)</x:f>
        <x:v>6.226942782676687</x:v>
      </x:c>
      <x:c r="T238" s="33" t="n">
        <x:f>IF(S238="","",ABS(S238))</x:f>
        <x:v>6.226942782676687</x:v>
      </x:c>
      <x:c r="U238" s="34" t="str">
        <x:f>IF(M238=FALSE,"Not analysed in paper",IF(K238=N238,"Significance agrees",IF(K238=TRUE,"User only","Paper only")))</x:f>
        <x:v>Paper only</x:v>
      </x:c>
      <x:c r="V238" s="34" t="str">
        <x:f>IF(M238=FALSE,"Not analysed in paper",IF(L238=FALSE,"User not reliable/significant",IF(N238=FALSE,"Paper not significant",IF(P238="","Exact paper latency unavailable",IF(T238&lt;=10,"Close (&lt;=10 ms)",IF(T238&lt;=20,"Similar (10-20 ms)","Different (&gt;20 ms)"))))))</x:f>
        <x:v>User not reliable/significant</x:v>
      </x:c>
      <x:c r="W238" s="37" t="b">
        <x:v>0</x:v>
      </x:c>
      <x:c r="X238" s="38"/>
      <x:c r="Y238" s="38"/>
      <x:c r="Z238" s="39"/>
      <x:c r="AA238" s="39" t="str">
        <x:f>IF(W238=FALSE,"Not explicitly reported in PDF",IF(AND(G238&gt;=X238,G238&lt;=Y238),"Within PDF value/range",IF(MIN(ABS(G238-X238),ABS(G238-Y238))&lt;=15,"Within 15 ms of PDF","Different from PDF")))</x:f>
        <x:v>Not explicitly reported in PDF</x:v>
      </x:c>
    </x:row>
    <x:row r="239">
      <x:c r="A239" s="20" t="str">
        <x:v>LGd</x:v>
      </x:c>
      <x:c r="B239" s="20" t="str">
        <x:v>Dorsal part of the lateral geniculate complex</x:v>
      </x:c>
      <x:c r="C239" s="20" t="str">
        <x:v>Thalamus</x:v>
      </x:c>
      <x:c r="D239" s="24" t="n">
        <x:v>24</x:v>
      </x:c>
      <x:c r="E239" s="24" t="n">
        <x:v>557</x:v>
      </x:c>
      <x:c r="F239" s="25" t="n">
        <x:v>3.361013812053266</x:v>
      </x:c>
      <x:c r="G239" s="25" t="n">
        <x:v>35.89242008520696</x:v>
      </x:c>
      <x:c r="H239" s="26" t="n">
        <x:v>0.0009990009990009</x:v>
      </x:c>
      <x:c r="I239" s="26" t="n">
        <x:v>0.0066433566433566</x:v>
      </x:c>
      <x:c r="J239" s="27" t="b">
        <x:v>1</x:v>
      </x:c>
      <x:c r="K239" s="27" t="b">
        <x:v>1</x:v>
      </x:c>
      <x:c r="L239" s="24" t="b">
        <x:f>AND(J239,K239)</x:f>
        <x:v>1</x:v>
      </x:c>
      <x:c r="M239" s="29" t="b">
        <x:v>1</x:v>
      </x:c>
      <x:c r="N239" s="30" t="n">
        <x:v>1</x:v>
      </x:c>
      <x:c r="O239" s="31" t="n">
        <x:v>-0.4</x:v>
      </x:c>
      <x:c r="P239" s="31" t="n">
        <x:v>34.0425531914893</x:v>
      </x:c>
      <x:c r="Q239" s="31" t="n">
        <x:v>0.4353501142262745</x:v>
      </x:c>
      <x:c r="R239" s="31" t="n">
        <x:v>1</x:v>
      </x:c>
      <x:c r="S239" s="33" t="n">
        <x:f>IF(OR(G239="",P239=""),"",G239-P239)</x:f>
        <x:v>1.8498668937176603</x:v>
      </x:c>
      <x:c r="T239" s="33" t="n">
        <x:f>IF(S239="","",ABS(S239))</x:f>
        <x:v>1.8498668937176603</x:v>
      </x:c>
      <x:c r="U239" s="34" t="str">
        <x:f>IF(M239=FALSE,"Not analysed in paper",IF(K239=N239,"Significance agrees",IF(K239=TRUE,"User only","Paper only")))</x:f>
        <x:v>Significance agrees</x:v>
      </x:c>
      <x:c r="V239" s="34" t="str">
        <x:f>IF(M239=FALSE,"Not analysed in paper",IF(L239=FALSE,"User not reliable/significant",IF(N239=FALSE,"Paper not significant",IF(P239="","Exact paper latency unavailable",IF(T239&lt;=10,"Close (&lt;=10 ms)",IF(T239&lt;=20,"Similar (10-20 ms)","Different (&gt;20 ms)"))))))</x:f>
        <x:v>Close (&lt;=10 ms)</x:v>
      </x:c>
      <x:c r="W239" s="37" t="b">
        <x:v>1</x:v>
      </x:c>
      <x:c r="X239" s="38" t="n">
        <x:v>34</x:v>
      </x:c>
      <x:c r="Y239" s="38" t="n">
        <x:v>34</x:v>
      </x:c>
      <x:c r="Z239" s="39" t="str">
        <x:v>approximately 34 ms</x:v>
      </x:c>
      <x:c r="AA239" s="39" t="str">
        <x:f>IF(W239=FALSE,"Not explicitly reported in PDF",IF(AND(G239&gt;=X239,G239&lt;=Y239),"Within PDF value/range",IF(MIN(ABS(G239-X239),ABS(G239-Y239))&lt;=15,"Within 15 ms of PDF","Different from PDF")))</x:f>
        <x:v>Within 15 ms of PDF</x:v>
      </x:c>
    </x:row>
    <x:row r="240">
      <x:c r="A240" s="20" t="str">
        <x:v>LGv</x:v>
      </x:c>
      <x:c r="B240" s="20" t="str">
        <x:v>Ventral part of the lateral geniculate complex</x:v>
      </x:c>
      <x:c r="C240" s="20" t="str">
        <x:v>Thalamus</x:v>
      </x:c>
      <x:c r="D240" s="24" t="n">
        <x:v>8</x:v>
      </x:c>
      <x:c r="E240" s="24" t="n">
        <x:v>143</x:v>
      </x:c>
      <x:c r="F240" s="25" t="n">
        <x:v>1.6282858544637402</x:v>
      </x:c>
      <x:c r="G240" s="25" t="n">
        <x:v>54.83723004613413</x:v>
      </x:c>
      <x:c r="H240" s="26" t="n">
        <x:v>0.0209790209790209</x:v>
      </x:c>
      <x:c r="I240" s="26" t="n">
        <x:v>0.06270134360022</x:v>
      </x:c>
      <x:c r="J240" s="27" t="b">
        <x:v>1</x:v>
      </x:c>
      <x:c r="K240" s="27" t="b">
        <x:v>0</x:v>
      </x:c>
      <x:c r="L240" s="24" t="b">
        <x:f>AND(J240,K240)</x:f>
        <x:v>0</x:v>
      </x:c>
      <x:c r="M240" s="29" t="b">
        <x:v>1</x:v>
      </x:c>
      <x:c r="N240" s="30" t="n">
        <x:v>0</x:v>
      </x:c>
      <x:c r="O240" s="31" t="n">
        <x:v>-0.72</x:v>
      </x:c>
      <x:c r="P240" s="31" t="n">
        <x:v>42.5531914893617</x:v>
      </x:c>
      <x:c r="Q240" s="31" t="n">
        <x:v>0.2686216006459986</x:v>
      </x:c>
      <x:c r="R240" s="31" t="n">
        <x:v>0</x:v>
      </x:c>
      <x:c r="S240" s="33" t="n">
        <x:f>IF(OR(G240="",P240=""),"",G240-P240)</x:f>
        <x:v>12.28403855677243</x:v>
      </x:c>
      <x:c r="T240" s="33" t="n">
        <x:f>IF(S240="","",ABS(S240))</x:f>
        <x:v>12.28403855677243</x:v>
      </x:c>
      <x:c r="U240" s="34" t="str">
        <x:f>IF(M240=FALSE,"Not analysed in paper",IF(K240=N240,"Significance agrees",IF(K240=TRUE,"User only","Paper only")))</x:f>
        <x:v>Significance agrees</x:v>
      </x:c>
      <x:c r="V240" s="34" t="str">
        <x:f>IF(M240=FALSE,"Not analysed in paper",IF(L240=FALSE,"User not reliable/significant",IF(N240=FALSE,"Paper not significant",IF(P240="","Exact paper latency unavailable",IF(T240&lt;=10,"Close (&lt;=10 ms)",IF(T240&lt;=20,"Similar (10-20 ms)","Different (&gt;20 ms)"))))))</x:f>
        <x:v>User not reliable/significant</x:v>
      </x:c>
      <x:c r="W240" s="37" t="b">
        <x:v>0</x:v>
      </x:c>
      <x:c r="X240" s="38"/>
      <x:c r="Y240" s="38"/>
      <x:c r="Z240" s="39"/>
      <x:c r="AA240" s="39" t="str">
        <x:f>IF(W240=FALSE,"Not explicitly reported in PDF",IF(AND(G240&gt;=X240,G240&lt;=Y240),"Within PDF value/range",IF(MIN(ABS(G240-X240),ABS(G240-Y240))&lt;=15,"Within 15 ms of PDF","Different from PDF")))</x:f>
        <x:v>Not explicitly reported in PDF</x:v>
      </x:c>
    </x:row>
    <x:row r="241">
      <x:c r="A241" s="20" t="str">
        <x:v>LH</x:v>
      </x:c>
      <x:c r="B241" s="20" t="str">
        <x:v>Lateral habenula</x:v>
      </x:c>
      <x:c r="C241" s="20" t="str">
        <x:v>Thalamus</x:v>
      </x:c>
      <x:c r="D241" s="24" t="n">
        <x:v>13</x:v>
      </x:c>
      <x:c r="E241" s="24" t="n">
        <x:v>76</x:v>
      </x:c>
      <x:c r="F241" s="25" t="n">
        <x:v>1.6464031091111684</x:v>
      </x:c>
      <x:c r="G241" s="25" t="n">
        <x:v>112.80916253879988</x:v>
      </x:c>
      <x:c r="H241" s="26" t="n">
        <x:v>0.2627372627372627</x:v>
      </x:c>
      <x:c r="I241" s="26" t="n">
        <x:v>0.4160006660006659</x:v>
      </x:c>
      <x:c r="J241" s="27" t="b">
        <x:v>1</x:v>
      </x:c>
      <x:c r="K241" s="27" t="b">
        <x:v>0</x:v>
      </x:c>
      <x:c r="L241" s="24" t="b">
        <x:f>AND(J241,K241)</x:f>
        <x:v>0</x:v>
      </x:c>
      <x:c r="M241" s="29" t="b">
        <x:v>1</x:v>
      </x:c>
      <x:c r="N241" s="30" t="n">
        <x:v>0</x:v>
      </x:c>
      <x:c r="O241" s="31" t="n">
        <x:v>-0.76</x:v>
      </x:c>
      <x:c r="P241" s="31"/>
      <x:c r="Q241" s="31"/>
      <x:c r="R241" s="31"/>
      <x:c r="S241" s="33" t="str">
        <x:f>IF(OR(G241="",P241=""),"",G241-P241)</x:f>
      </x:c>
      <x:c r="T241" s="33" t="str">
        <x:f>IF(S241="","",ABS(S241))</x:f>
      </x:c>
      <x:c r="U241" s="34" t="str">
        <x:f>IF(M241=FALSE,"Not analysed in paper",IF(K241=N241,"Significance agrees",IF(K241=TRUE,"User only","Paper only")))</x:f>
        <x:v>Significance agrees</x:v>
      </x:c>
      <x:c r="V241" s="34" t="str">
        <x:f>IF(M241=FALSE,"Not analysed in paper",IF(L241=FALSE,"User not reliable/significant",IF(N241=FALSE,"Paper not significant",IF(P241="","Exact paper latency unavailable",IF(T241&lt;=10,"Close (&lt;=10 ms)",IF(T241&lt;=20,"Similar (10-20 ms)","Different (&gt;20 ms)"))))))</x:f>
        <x:v>User not reliable/significant</x:v>
      </x:c>
      <x:c r="W241" s="37" t="b">
        <x:v>0</x:v>
      </x:c>
      <x:c r="X241" s="38"/>
      <x:c r="Y241" s="38"/>
      <x:c r="Z241" s="39"/>
      <x:c r="AA241" s="39" t="str">
        <x:f>IF(W241=FALSE,"Not explicitly reported in PDF",IF(AND(G241&gt;=X241,G241&lt;=Y241),"Within PDF value/range",IF(MIN(ABS(G241-X241),ABS(G241-Y241))&lt;=15,"Within 15 ms of PDF","Different from PDF")))</x:f>
        <x:v>Not explicitly reported in PDF</x:v>
      </x:c>
    </x:row>
    <x:row r="242">
      <x:c r="A242" s="20" t="str">
        <x:v>LP</x:v>
      </x:c>
      <x:c r="B242" s="20" t="str">
        <x:v>Lateral posterior nucleus of the thalamus</x:v>
      </x:c>
      <x:c r="C242" s="20" t="str">
        <x:v>Thalamus</x:v>
      </x:c>
      <x:c r="D242" s="24" t="n">
        <x:v>78</x:v>
      </x:c>
      <x:c r="E242" s="24" t="n">
        <x:v>1812</x:v>
      </x:c>
      <x:c r="F242" s="25" t="n">
        <x:v>1.5364454233722076</x:v>
      </x:c>
      <x:c r="G242" s="25" t="n">
        <x:v>52.279056249266745</x:v>
      </x:c>
      <x:c r="H242" s="26" t="n">
        <x:v>0.0009990009990009</x:v>
      </x:c>
      <x:c r="I242" s="26" t="n">
        <x:v>0.0066433566433566</x:v>
      </x:c>
      <x:c r="J242" s="27" t="b">
        <x:v>1</x:v>
      </x:c>
      <x:c r="K242" s="27" t="b">
        <x:v>1</x:v>
      </x:c>
      <x:c r="L242" s="24" t="b">
        <x:f>AND(J242,K242)</x:f>
        <x:v>1</x:v>
      </x:c>
      <x:c r="M242" s="29" t="b">
        <x:v>1</x:v>
      </x:c>
      <x:c r="N242" s="30" t="n">
        <x:v>1</x:v>
      </x:c>
      <x:c r="O242" s="31" t="n">
        <x:v>-0.74</x:v>
      </x:c>
      <x:c r="P242" s="31" t="n">
        <x:v>46.808510638297804</x:v>
      </x:c>
      <x:c r="Q242" s="31" t="n">
        <x:v>0.1610459012169445</x:v>
      </x:c>
      <x:c r="R242" s="31" t="n">
        <x:v>1</x:v>
      </x:c>
      <x:c r="S242" s="33" t="n">
        <x:f>IF(OR(G242="",P242=""),"",G242-P242)</x:f>
        <x:v>5.470545610968941</x:v>
      </x:c>
      <x:c r="T242" s="33" t="n">
        <x:f>IF(S242="","",ABS(S242))</x:f>
        <x:v>5.470545610968941</x:v>
      </x:c>
      <x:c r="U242" s="34" t="str">
        <x:f>IF(M242=FALSE,"Not analysed in paper",IF(K242=N242,"Significance agrees",IF(K242=TRUE,"User only","Paper only")))</x:f>
        <x:v>Significance agrees</x:v>
      </x:c>
      <x:c r="V242" s="34" t="str">
        <x:f>IF(M242=FALSE,"Not analysed in paper",IF(L242=FALSE,"User not reliable/significant",IF(N242=FALSE,"Paper not significant",IF(P242="","Exact paper latency unavailable",IF(T242&lt;=10,"Close (&lt;=10 ms)",IF(T242&lt;=20,"Similar (10-20 ms)","Different (&gt;20 ms)"))))))</x:f>
        <x:v>Close (&lt;=10 ms)</x:v>
      </x:c>
      <x:c r="W242" s="37" t="b">
        <x:v>1</x:v>
      </x:c>
      <x:c r="X242" s="38" t="n">
        <x:v>42</x:v>
      </x:c>
      <x:c r="Y242" s="38" t="n">
        <x:v>42</x:v>
      </x:c>
      <x:c r="Z242" s="39" t="str">
        <x:v>approximately 42 ms</x:v>
      </x:c>
      <x:c r="AA242" s="39" t="str">
        <x:f>IF(W242=FALSE,"Not explicitly reported in PDF",IF(AND(G242&gt;=X242,G242&lt;=Y242),"Within PDF value/range",IF(MIN(ABS(G242-X242),ABS(G242-Y242))&lt;=15,"Within 15 ms of PDF","Different from PDF")))</x:f>
        <x:v>Within 15 ms of PDF</x:v>
      </x:c>
    </x:row>
    <x:row r="243">
      <x:c r="A243" s="20" t="str">
        <x:v>MD</x:v>
      </x:c>
      <x:c r="B243" s="20" t="str">
        <x:v>Mediodorsal nucleus of thalamus</x:v>
      </x:c>
      <x:c r="C243" s="20" t="str">
        <x:v>Thalamus</x:v>
      </x:c>
      <x:c r="D243" s="24" t="n">
        <x:v>21</x:v>
      </x:c>
      <x:c r="E243" s="24" t="n">
        <x:v>604</x:v>
      </x:c>
      <x:c r="F243" s="25" t="n">
        <x:v>2.788743261338539</x:v>
      </x:c>
      <x:c r="G243" s="25" t="n">
        <x:v>130.54499599439507</x:v>
      </x:c>
      <x:c r="H243" s="26" t="n">
        <x:v>0.0009990009990009</x:v>
      </x:c>
      <x:c r="I243" s="26" t="n">
        <x:v>0.0066433566433566</x:v>
      </x:c>
      <x:c r="J243" s="27" t="b">
        <x:v>1</x:v>
      </x:c>
      <x:c r="K243" s="27" t="b">
        <x:v>1</x:v>
      </x:c>
      <x:c r="L243" s="24" t="b">
        <x:f>AND(J243,K243)</x:f>
        <x:v>1</x:v>
      </x:c>
      <x:c r="M243" s="29" t="b">
        <x:v>1</x:v>
      </x:c>
      <x:c r="N243" s="30" t="n">
        <x:v>1</x:v>
      </x:c>
      <x:c r="O243" s="31" t="n">
        <x:v>-0.91</x:v>
      </x:c>
      <x:c r="P243" s="31" t="n">
        <x:v>48.9361702127659</x:v>
      </x:c>
      <x:c r="Q243" s="31" t="n">
        <x:v>0.087797162065361</x:v>
      </x:c>
      <x:c r="R243" s="31" t="n">
        <x:v>1</x:v>
      </x:c>
      <x:c r="S243" s="33" t="n">
        <x:f>IF(OR(G243="",P243=""),"",G243-P243)</x:f>
        <x:v>81.60882578162916</x:v>
      </x:c>
      <x:c r="T243" s="33" t="n">
        <x:f>IF(S243="","",ABS(S243))</x:f>
        <x:v>81.60882578162916</x:v>
      </x:c>
      <x:c r="U243" s="34" t="str">
        <x:f>IF(M243=FALSE,"Not analysed in paper",IF(K243=N243,"Significance agrees",IF(K243=TRUE,"User only","Paper only")))</x:f>
        <x:v>Significance agrees</x:v>
      </x:c>
      <x:c r="V243" s="34" t="str">
        <x:f>IF(M243=FALSE,"Not analysed in paper",IF(L243=FALSE,"User not reliable/significant",IF(N243=FALSE,"Paper not significant",IF(P243="","Exact paper latency unavailable",IF(T243&lt;=10,"Close (&lt;=10 ms)",IF(T243&lt;=20,"Similar (10-20 ms)","Different (&gt;20 ms)"))))))</x:f>
        <x:v>Different (&gt;20 ms)</x:v>
      </x:c>
      <x:c r="W243" s="37" t="b">
        <x:v>0</x:v>
      </x:c>
      <x:c r="X243" s="38"/>
      <x:c r="Y243" s="38"/>
      <x:c r="Z243" s="39"/>
      <x:c r="AA243" s="39" t="str">
        <x:f>IF(W243=FALSE,"Not explicitly reported in PDF",IF(AND(G243&gt;=X243,G243&lt;=Y243),"Within PDF value/range",IF(MIN(ABS(G243-X243),ABS(G243-Y243))&lt;=15,"Within 15 ms of PDF","Different from PDF")))</x:f>
        <x:v>Not explicitly reported in PDF</x:v>
      </x:c>
    </x:row>
    <x:row r="244">
      <x:c r="A244" s="20" t="str">
        <x:v>MG</x:v>
      </x:c>
      <x:c r="B244" s="20" t="str">
        <x:v>Medial geniculate complex</x:v>
      </x:c>
      <x:c r="C244" s="20" t="str">
        <x:v>Thalamus</x:v>
      </x:c>
      <x:c r="D244" s="24" t="n">
        <x:v>16</x:v>
      </x:c>
      <x:c r="E244" s="24" t="n">
        <x:v>332</x:v>
      </x:c>
      <x:c r="F244" s="25" t="n">
        <x:v>1.566914417614063</x:v>
      </x:c>
      <x:c r="G244" s="25" t="n">
        <x:v>131.82894803616358</x:v>
      </x:c>
      <x:c r="H244" s="26" t="n">
        <x:v>0.2797202797202797</x:v>
      </x:c>
      <x:c r="I244" s="26" t="n">
        <x:v>0.4325906651488047</x:v>
      </x:c>
      <x:c r="J244" s="27" t="b">
        <x:v>1</x:v>
      </x:c>
      <x:c r="K244" s="27" t="b">
        <x:v>0</x:v>
      </x:c>
      <x:c r="L244" s="24" t="b">
        <x:f>AND(J244,K244)</x:f>
        <x:v>0</x:v>
      </x:c>
      <x:c r="M244" s="29" t="b">
        <x:v>1</x:v>
      </x:c>
      <x:c r="N244" s="30" t="n">
        <x:v>1</x:v>
      </x:c>
      <x:c r="O244" s="31" t="n">
        <x:v>-0.93</x:v>
      </x:c>
      <x:c r="P244" s="31" t="n">
        <x:v>42.5531914893617</x:v>
      </x:c>
      <x:c r="Q244" s="31" t="n">
        <x:v>0.1431734308647678</x:v>
      </x:c>
      <x:c r="R244" s="31" t="n">
        <x:v>0</x:v>
      </x:c>
      <x:c r="S244" s="33" t="n">
        <x:f>IF(OR(G244="",P244=""),"",G244-P244)</x:f>
        <x:v>89.27575654680189</x:v>
      </x:c>
      <x:c r="T244" s="33" t="n">
        <x:f>IF(S244="","",ABS(S244))</x:f>
        <x:v>89.27575654680189</x:v>
      </x:c>
      <x:c r="U244" s="34" t="str">
        <x:f>IF(M244=FALSE,"Not analysed in paper",IF(K244=N244,"Significance agrees",IF(K244=TRUE,"User only","Paper only")))</x:f>
        <x:v>Paper only</x:v>
      </x:c>
      <x:c r="V244" s="34" t="str">
        <x:f>IF(M244=FALSE,"Not analysed in paper",IF(L244=FALSE,"User not reliable/significant",IF(N244=FALSE,"Paper not significant",IF(P244="","Exact paper latency unavailable",IF(T244&lt;=10,"Close (&lt;=10 ms)",IF(T244&lt;=20,"Similar (10-20 ms)","Different (&gt;20 ms)"))))))</x:f>
        <x:v>User not reliable/significant</x:v>
      </x:c>
      <x:c r="W244" s="37" t="b">
        <x:v>0</x:v>
      </x:c>
      <x:c r="X244" s="38"/>
      <x:c r="Y244" s="38"/>
      <x:c r="Z244" s="39"/>
      <x:c r="AA244" s="39" t="str">
        <x:f>IF(W244=FALSE,"Not explicitly reported in PDF",IF(AND(G244&gt;=X244,G244&lt;=Y244),"Within PDF value/range",IF(MIN(ABS(G244-X244),ABS(G244-Y244))&lt;=15,"Within 15 ms of PDF","Different from PDF")))</x:f>
        <x:v>Not explicitly reported in PDF</x:v>
      </x:c>
    </x:row>
    <x:row r="245">
      <x:c r="A245" s="20" t="str">
        <x:v>MH</x:v>
      </x:c>
      <x:c r="B245" s="20" t="str">
        <x:v>Medial habenula</x:v>
      </x:c>
      <x:c r="C245" s="20" t="str">
        <x:v>Thalamus</x:v>
      </x:c>
      <x:c r="D245" s="24" t="n">
        <x:v>8</x:v>
      </x:c>
      <x:c r="E245" s="24" t="n">
        <x:v>38</x:v>
      </x:c>
      <x:c r="F245" s="25" t="n">
        <x:v>2.9304646309560685</x:v>
      </x:c>
      <x:c r="G245" s="25" t="n">
        <x:v>114.6978979890847</x:v>
      </x:c>
      <x:c r="H245" s="26" t="n">
        <x:v>0.2037962037962038</x:v>
      </x:c>
      <x:c r="I245" s="26" t="n">
        <x:v>0.3452852879604472</x:v>
      </x:c>
      <x:c r="J245" s="27" t="b">
        <x:v>1</x:v>
      </x:c>
      <x:c r="K245" s="27" t="b">
        <x:v>0</x:v>
      </x:c>
      <x:c r="L245" s="24" t="b">
        <x:f>AND(J245,K245)</x:f>
        <x:v>0</x:v>
      </x:c>
      <x:c r="M245" s="29" t="b">
        <x:v>1</x:v>
      </x:c>
      <x:c r="N245" s="30" t="n">
        <x:v>0</x:v>
      </x:c>
      <x:c r="O245" s="31" t="n">
        <x:v>-0.82</x:v>
      </x:c>
      <x:c r="P245" s="31"/>
      <x:c r="Q245" s="31"/>
      <x:c r="R245" s="31"/>
      <x:c r="S245" s="33" t="str">
        <x:f>IF(OR(G245="",P245=""),"",G245-P245)</x:f>
      </x:c>
      <x:c r="T245" s="33" t="str">
        <x:f>IF(S245="","",ABS(S245))</x:f>
      </x:c>
      <x:c r="U245" s="34" t="str">
        <x:f>IF(M245=FALSE,"Not analysed in paper",IF(K245=N245,"Significance agrees",IF(K245=TRUE,"User only","Paper only")))</x:f>
        <x:v>Significance agrees</x:v>
      </x:c>
      <x:c r="V245" s="34" t="str">
        <x:f>IF(M245=FALSE,"Not analysed in paper",IF(L245=FALSE,"User not reliable/significant",IF(N245=FALSE,"Paper not significant",IF(P245="","Exact paper latency unavailable",IF(T245&lt;=10,"Close (&lt;=10 ms)",IF(T245&lt;=20,"Similar (10-20 ms)","Different (&gt;20 ms)"))))))</x:f>
        <x:v>User not reliable/significant</x:v>
      </x:c>
      <x:c r="W245" s="37" t="b">
        <x:v>0</x:v>
      </x:c>
      <x:c r="X245" s="38"/>
      <x:c r="Y245" s="38"/>
      <x:c r="Z245" s="39"/>
      <x:c r="AA245" s="39" t="str">
        <x:f>IF(W245=FALSE,"Not explicitly reported in PDF",IF(AND(G245&gt;=X245,G245&lt;=Y245),"Within PDF value/range",IF(MIN(ABS(G245-X245),ABS(G245-Y245))&lt;=15,"Within 15 ms of PDF","Different from PDF")))</x:f>
        <x:v>Not explicitly reported in PDF</x:v>
      </x:c>
    </x:row>
    <x:row r="246">
      <x:c r="A246" s="20" t="str">
        <x:v>PCN</x:v>
      </x:c>
      <x:c r="B246" s="20" t="str">
        <x:v>Paracentral nucleus</x:v>
      </x:c>
      <x:c r="C246" s="20" t="str">
        <x:v>Thalamus</x:v>
      </x:c>
      <x:c r="D246" s="24" t="n">
        <x:v>10</x:v>
      </x:c>
      <x:c r="E246" s="24" t="n">
        <x:v>84</x:v>
      </x:c>
      <x:c r="F246" s="25" t="n">
        <x:v>1.1876795772178372</x:v>
      </x:c>
      <x:c r="G246" s="25" t="n">
        <x:v>73.28302717626863</x:v>
      </x:c>
      <x:c r="H246" s="26" t="n">
        <x:v>0.3756243756243756</x:v>
      </x:c>
      <x:c r="I246" s="26" t="n">
        <x:v>0.5258741258741259</x:v>
      </x:c>
      <x:c r="J246" s="27" t="b">
        <x:v>1</x:v>
      </x:c>
      <x:c r="K246" s="27" t="b">
        <x:v>0</x:v>
      </x:c>
      <x:c r="L246" s="24" t="b">
        <x:f>AND(J246,K246)</x:f>
        <x:v>0</x:v>
      </x:c>
      <x:c r="M246" s="29" t="b">
        <x:v>1</x:v>
      </x:c>
      <x:c r="N246" s="30" t="n">
        <x:v>0</x:v>
      </x:c>
      <x:c r="O246" s="31" t="n">
        <x:v>-0.97</x:v>
      </x:c>
      <x:c r="P246" s="31" t="n">
        <x:v>51.063829787234</x:v>
      </x:c>
      <x:c r="Q246" s="31" t="n">
        <x:v>0.2195795611713636</x:v>
      </x:c>
      <x:c r="R246" s="31" t="n">
        <x:v>1</x:v>
      </x:c>
      <x:c r="S246" s="33" t="n">
        <x:f>IF(OR(G246="",P246=""),"",G246-P246)</x:f>
        <x:v>22.219197389034633</x:v>
      </x:c>
      <x:c r="T246" s="33" t="n">
        <x:f>IF(S246="","",ABS(S246))</x:f>
        <x:v>22.219197389034633</x:v>
      </x:c>
      <x:c r="U246" s="34" t="str">
        <x:f>IF(M246=FALSE,"Not analysed in paper",IF(K246=N246,"Significance agrees",IF(K246=TRUE,"User only","Paper only")))</x:f>
        <x:v>Significance agrees</x:v>
      </x:c>
      <x:c r="V246" s="34" t="str">
        <x:f>IF(M246=FALSE,"Not analysed in paper",IF(L246=FALSE,"User not reliable/significant",IF(N246=FALSE,"Paper not significant",IF(P246="","Exact paper latency unavailable",IF(T246&lt;=10,"Close (&lt;=10 ms)",IF(T246&lt;=20,"Similar (10-20 ms)","Different (&gt;20 ms)"))))))</x:f>
        <x:v>User not reliable/significant</x:v>
      </x:c>
      <x:c r="W246" s="37" t="b">
        <x:v>0</x:v>
      </x:c>
      <x:c r="X246" s="38"/>
      <x:c r="Y246" s="38"/>
      <x:c r="Z246" s="39"/>
      <x:c r="AA246" s="39" t="str">
        <x:f>IF(W246=FALSE,"Not explicitly reported in PDF",IF(AND(G246&gt;=X246,G246&lt;=Y246),"Within PDF value/range",IF(MIN(ABS(G246-X246),ABS(G246-Y246))&lt;=15,"Within 15 ms of PDF","Different from PDF")))</x:f>
        <x:v>Not explicitly reported in PDF</x:v>
      </x:c>
    </x:row>
    <x:row r="247">
      <x:c r="A247" s="20" t="str">
        <x:v>PF</x:v>
      </x:c>
      <x:c r="B247" s="20" t="str">
        <x:v>Parafascicular nucleus</x:v>
      </x:c>
      <x:c r="C247" s="20" t="str">
        <x:v>Thalamus</x:v>
      </x:c>
      <x:c r="D247" s="24" t="n">
        <x:v>8</x:v>
      </x:c>
      <x:c r="E247" s="24" t="n">
        <x:v>150</x:v>
      </x:c>
      <x:c r="F247" s="25" t="n">
        <x:v>8.272957347400006</x:v>
      </x:c>
      <x:c r="G247" s="25" t="n">
        <x:v>52.20673454658086</x:v>
      </x:c>
      <x:c r="H247" s="26" t="n">
        <x:v>0.0009990009990009</x:v>
      </x:c>
      <x:c r="I247" s="26" t="n">
        <x:v>0.0066433566433566</x:v>
      </x:c>
      <x:c r="J247" s="27" t="b">
        <x:v>1</x:v>
      </x:c>
      <x:c r="K247" s="27" t="b">
        <x:v>1</x:v>
      </x:c>
      <x:c r="L247" s="24" t="b">
        <x:f>AND(J247,K247)</x:f>
        <x:v>1</x:v>
      </x:c>
      <x:c r="M247" s="29" t="b">
        <x:v>1</x:v>
      </x:c>
      <x:c r="N247" s="30" t="n">
        <x:v>1</x:v>
      </x:c>
      <x:c r="O247" s="31" t="n">
        <x:v>0</x:v>
      </x:c>
      <x:c r="P247" s="31" t="n">
        <x:v>40.4255319148936</x:v>
      </x:c>
      <x:c r="Q247" s="31" t="n">
        <x:v>0.9548536300767264</x:v>
      </x:c>
      <x:c r="R247" s="31" t="n">
        <x:v>1</x:v>
      </x:c>
      <x:c r="S247" s="33" t="n">
        <x:f>IF(OR(G247="",P247=""),"",G247-P247)</x:f>
        <x:v>11.781202631687265</x:v>
      </x:c>
      <x:c r="T247" s="33" t="n">
        <x:f>IF(S247="","",ABS(S247))</x:f>
        <x:v>11.781202631687265</x:v>
      </x:c>
      <x:c r="U247" s="34" t="str">
        <x:f>IF(M247=FALSE,"Not analysed in paper",IF(K247=N247,"Significance agrees",IF(K247=TRUE,"User only","Paper only")))</x:f>
        <x:v>Significance agrees</x:v>
      </x:c>
      <x:c r="V247" s="34" t="str">
        <x:f>IF(M247=FALSE,"Not analysed in paper",IF(L247=FALSE,"User not reliable/significant",IF(N247=FALSE,"Paper not significant",IF(P247="","Exact paper latency unavailable",IF(T247&lt;=10,"Close (&lt;=10 ms)",IF(T247&lt;=20,"Similar (10-20 ms)","Different (&gt;20 ms)"))))))</x:f>
        <x:v>Similar (10-20 ms)</x:v>
      </x:c>
      <x:c r="W247" s="37" t="b">
        <x:v>0</x:v>
      </x:c>
      <x:c r="X247" s="38"/>
      <x:c r="Y247" s="38"/>
      <x:c r="Z247" s="39"/>
      <x:c r="AA247" s="39" t="str">
        <x:f>IF(W247=FALSE,"Not explicitly reported in PDF",IF(AND(G247&gt;=X247,G247&lt;=Y247),"Within PDF value/range",IF(MIN(ABS(G247-X247),ABS(G247-Y247))&lt;=15,"Within 15 ms of PDF","Different from PDF")))</x:f>
        <x:v>Not explicitly reported in PDF</x:v>
      </x:c>
    </x:row>
    <x:row r="248">
      <x:c r="A248" s="20" t="str">
        <x:v>PIL</x:v>
      </x:c>
      <x:c r="B248" s="20" t="str">
        <x:v>Posterior intralaminar thalamic nucleus</x:v>
      </x:c>
      <x:c r="C248" s="20" t="str">
        <x:v>Thalamus</x:v>
      </x:c>
      <x:c r="D248" s="24" t="n">
        <x:v>6</x:v>
      </x:c>
      <x:c r="E248" s="24" t="n">
        <x:v>11</x:v>
      </x:c>
      <x:c r="F248" s="25" t="n">
        <x:v>8.92918999455197</x:v>
      </x:c>
      <x:c r="G248" s="25" t="n">
        <x:v>137.55126918657467</x:v>
      </x:c>
      <x:c r="H248" s="26" t="n">
        <x:v>0.1018981018981019</x:v>
      </x:c>
      <x:c r="I248" s="26" t="n">
        <x:v>0.2069075962205733</x:v>
      </x:c>
      <x:c r="J248" s="27" t="b">
        <x:v>0</x:v>
      </x:c>
      <x:c r="K248" s="27" t="b">
        <x:v>0</x:v>
      </x:c>
      <x:c r="L248" s="24" t="b">
        <x:f>AND(J248,K248)</x:f>
        <x:v>0</x:v>
      </x:c>
      <x:c r="M248" s="29" t="b">
        <x:v>0</x:v>
      </x:c>
      <x:c r="N248" s="30"/>
      <x:c r="O248" s="31"/>
      <x:c r="P248" s="31"/>
      <x:c r="Q248" s="31"/>
      <x:c r="R248" s="31"/>
      <x:c r="S248" s="33" t="str">
        <x:f>IF(OR(G248="",P248=""),"",G248-P248)</x:f>
      </x:c>
      <x:c r="T248" s="33" t="str">
        <x:f>IF(S248="","",ABS(S248))</x:f>
      </x:c>
      <x:c r="U248" s="34" t="str">
        <x:f>IF(M248=FALSE,"Not analysed in paper",IF(K248=N248,"Significance agrees",IF(K248=TRUE,"User only","Paper only")))</x:f>
        <x:v>Not analysed in paper</x:v>
      </x:c>
      <x:c r="V248" s="34" t="str">
        <x:f>IF(M248=FALSE,"Not analysed in paper",IF(L248=FALSE,"User not reliable/significant",IF(N248=FALSE,"Paper not significant",IF(P248="","Exact paper latency unavailable",IF(T248&lt;=10,"Close (&lt;=10 ms)",IF(T248&lt;=20,"Similar (10-20 ms)","Different (&gt;20 ms)"))))))</x:f>
        <x:v>Not analysed in paper</x:v>
      </x:c>
      <x:c r="W248" s="37" t="b">
        <x:v>0</x:v>
      </x:c>
      <x:c r="X248" s="38"/>
      <x:c r="Y248" s="38"/>
      <x:c r="Z248" s="39"/>
      <x:c r="AA248" s="39" t="str">
        <x:f>IF(W248=FALSE,"Not explicitly reported in PDF",IF(AND(G248&gt;=X248,G248&lt;=Y248),"Within PDF value/range",IF(MIN(ABS(G248-X248),ABS(G248-Y248))&lt;=15,"Within 15 ms of PDF","Different from PDF")))</x:f>
        <x:v>Not explicitly reported in PDF</x:v>
      </x:c>
    </x:row>
    <x:row r="249">
      <x:c r="A249" s="20" t="str">
        <x:v>PO</x:v>
      </x:c>
      <x:c r="B249" s="20" t="str">
        <x:v>Posterior complex of the thalamus</x:v>
      </x:c>
      <x:c r="C249" s="20" t="str">
        <x:v>Thalamus</x:v>
      </x:c>
      <x:c r="D249" s="24" t="n">
        <x:v>52</x:v>
      </x:c>
      <x:c r="E249" s="24" t="n">
        <x:v>2329</x:v>
      </x:c>
      <x:c r="F249" s="25" t="n">
        <x:v>0.9563380881281152</x:v>
      </x:c>
      <x:c r="G249" s="25" t="n">
        <x:v>136.28942194681795</x:v>
      </x:c>
      <x:c r="H249" s="26" t="n">
        <x:v>0.3006993006993007</x:v>
      </x:c>
      <x:c r="I249" s="26" t="n">
        <x:v>0.457062937062937</x:v>
      </x:c>
      <x:c r="J249" s="27" t="b">
        <x:v>1</x:v>
      </x:c>
      <x:c r="K249" s="27" t="b">
        <x:v>0</x:v>
      </x:c>
      <x:c r="L249" s="24" t="b">
        <x:f>AND(J249,K249)</x:f>
        <x:v>0</x:v>
      </x:c>
      <x:c r="M249" s="29" t="b">
        <x:v>1</x:v>
      </x:c>
      <x:c r="N249" s="30" t="n">
        <x:v>0</x:v>
      </x:c>
      <x:c r="O249" s="31" t="n">
        <x:v>-1.27</x:v>
      </x:c>
      <x:c r="P249" s="31" t="n">
        <x:v>89.3617021276595</x:v>
      </x:c>
      <x:c r="Q249" s="31" t="n">
        <x:v>0.0710173346566692</x:v>
      </x:c>
      <x:c r="R249" s="31" t="n">
        <x:v>1</x:v>
      </x:c>
      <x:c r="S249" s="33" t="n">
        <x:f>IF(OR(G249="",P249=""),"",G249-P249)</x:f>
        <x:v>46.927719819158455</x:v>
      </x:c>
      <x:c r="T249" s="33" t="n">
        <x:f>IF(S249="","",ABS(S249))</x:f>
        <x:v>46.927719819158455</x:v>
      </x:c>
      <x:c r="U249" s="34" t="str">
        <x:f>IF(M249=FALSE,"Not analysed in paper",IF(K249=N249,"Significance agrees",IF(K249=TRUE,"User only","Paper only")))</x:f>
        <x:v>Significance agrees</x:v>
      </x:c>
      <x:c r="V249" s="34" t="str">
        <x:f>IF(M249=FALSE,"Not analysed in paper",IF(L249=FALSE,"User not reliable/significant",IF(N249=FALSE,"Paper not significant",IF(P249="","Exact paper latency unavailable",IF(T249&lt;=10,"Close (&lt;=10 ms)",IF(T249&lt;=20,"Similar (10-20 ms)","Different (&gt;20 ms)"))))))</x:f>
        <x:v>User not reliable/significant</x:v>
      </x:c>
      <x:c r="W249" s="37" t="b">
        <x:v>0</x:v>
      </x:c>
      <x:c r="X249" s="38"/>
      <x:c r="Y249" s="38"/>
      <x:c r="Z249" s="39"/>
      <x:c r="AA249" s="39" t="str">
        <x:f>IF(W249=FALSE,"Not explicitly reported in PDF",IF(AND(G249&gt;=X249,G249&lt;=Y249),"Within PDF value/range",IF(MIN(ABS(G249-X249),ABS(G249-Y249))&lt;=15,"Within 15 ms of PDF","Different from PDF")))</x:f>
        <x:v>Not explicitly reported in PDF</x:v>
      </x:c>
    </x:row>
    <x:row r="250">
      <x:c r="A250" s="20" t="str">
        <x:v>POL</x:v>
      </x:c>
      <x:c r="B250" s="20" t="str">
        <x:v>Posterior limiting nucleus of the thalamus</x:v>
      </x:c>
      <x:c r="C250" s="20" t="str">
        <x:v>Thalamus</x:v>
      </x:c>
      <x:c r="D250" s="24" t="n">
        <x:v>18</x:v>
      </x:c>
      <x:c r="E250" s="24" t="n">
        <x:v>166</x:v>
      </x:c>
      <x:c r="F250" s="25" t="n">
        <x:v>1.7615968779544486</x:v>
      </x:c>
      <x:c r="G250" s="25" t="n">
        <x:v>24.176271593356475</x:v>
      </x:c>
      <x:c r="H250" s="26" t="n">
        <x:v>0.1788211788211788</x:v>
      </x:c>
      <x:c r="I250" s="26" t="n">
        <x:v>0.3146853146853146</x:v>
      </x:c>
      <x:c r="J250" s="27" t="b">
        <x:v>1</x:v>
      </x:c>
      <x:c r="K250" s="27" t="b">
        <x:v>0</x:v>
      </x:c>
      <x:c r="L250" s="24" t="b">
        <x:f>AND(J250,K250)</x:f>
        <x:v>0</x:v>
      </x:c>
      <x:c r="M250" s="29" t="b">
        <x:v>1</x:v>
      </x:c>
      <x:c r="N250" s="30" t="n">
        <x:v>0</x:v>
      </x:c>
      <x:c r="O250" s="31" t="n">
        <x:v>-0.64</x:v>
      </x:c>
      <x:c r="P250" s="31" t="n">
        <x:v>17.021276595744602</x:v>
      </x:c>
      <x:c r="Q250" s="31" t="n">
        <x:v>0.2174730534269766</x:v>
      </x:c>
      <x:c r="R250" s="31" t="n">
        <x:v>1</x:v>
      </x:c>
      <x:c r="S250" s="33" t="n">
        <x:f>IF(OR(G250="",P250=""),"",G250-P250)</x:f>
        <x:v>7.1549949976118725</x:v>
      </x:c>
      <x:c r="T250" s="33" t="n">
        <x:f>IF(S250="","",ABS(S250))</x:f>
        <x:v>7.1549949976118725</x:v>
      </x:c>
      <x:c r="U250" s="34" t="str">
        <x:f>IF(M250=FALSE,"Not analysed in paper",IF(K250=N250,"Significance agrees",IF(K250=TRUE,"User only","Paper only")))</x:f>
        <x:v>Significance agrees</x:v>
      </x:c>
      <x:c r="V250" s="34" t="str">
        <x:f>IF(M250=FALSE,"Not analysed in paper",IF(L250=FALSE,"User not reliable/significant",IF(N250=FALSE,"Paper not significant",IF(P250="","Exact paper latency unavailable",IF(T250&lt;=10,"Close (&lt;=10 ms)",IF(T250&lt;=20,"Similar (10-20 ms)","Different (&gt;20 ms)"))))))</x:f>
        <x:v>User not reliable/significant</x:v>
      </x:c>
      <x:c r="W250" s="37" t="b">
        <x:v>0</x:v>
      </x:c>
      <x:c r="X250" s="38"/>
      <x:c r="Y250" s="38"/>
      <x:c r="Z250" s="39"/>
      <x:c r="AA250" s="39" t="str">
        <x:f>IF(W250=FALSE,"Not explicitly reported in PDF",IF(AND(G250&gt;=X250,G250&lt;=Y250),"Within PDF value/range",IF(MIN(ABS(G250-X250),ABS(G250-Y250))&lt;=15,"Within 15 ms of PDF","Different from PDF")))</x:f>
        <x:v>Not explicitly reported in PDF</x:v>
      </x:c>
    </x:row>
    <x:row r="251">
      <x:c r="A251" s="20" t="str">
        <x:v>PP</x:v>
      </x:c>
      <x:c r="B251" s="20" t="str">
        <x:v>Peripeduncular nucleus</x:v>
      </x:c>
      <x:c r="C251" s="20" t="str">
        <x:v>Thalamus</x:v>
      </x:c>
      <x:c r="D251" s="24" t="n">
        <x:v>4</x:v>
      </x:c>
      <x:c r="E251" s="24" t="n">
        <x:v>13</x:v>
      </x:c>
      <x:c r="F251" s="25" t="n">
        <x:v>8.564579872067336</x:v>
      </x:c>
      <x:c r="G251" s="25" t="n">
        <x:v>101.76392230701548</x:v>
      </x:c>
      <x:c r="H251" s="26" t="n">
        <x:v>0.2297702297702297</x:v>
      </x:c>
      <x:c r="I251" s="26" t="n">
        <x:v>0.381993006993007</x:v>
      </x:c>
      <x:c r="J251" s="27" t="b">
        <x:v>0</x:v>
      </x:c>
      <x:c r="K251" s="27" t="b">
        <x:v>0</x:v>
      </x:c>
      <x:c r="L251" s="24" t="b">
        <x:f>AND(J251,K251)</x:f>
        <x:v>0</x:v>
      </x:c>
      <x:c r="M251" s="29" t="b">
        <x:v>0</x:v>
      </x:c>
      <x:c r="N251" s="30"/>
      <x:c r="O251" s="31"/>
      <x:c r="P251" s="31"/>
      <x:c r="Q251" s="31"/>
      <x:c r="R251" s="31"/>
      <x:c r="S251" s="33" t="str">
        <x:f>IF(OR(G251="",P251=""),"",G251-P251)</x:f>
      </x:c>
      <x:c r="T251" s="33" t="str">
        <x:f>IF(S251="","",ABS(S251))</x:f>
      </x:c>
      <x:c r="U251" s="34" t="str">
        <x:f>IF(M251=FALSE,"Not analysed in paper",IF(K251=N251,"Significance agrees",IF(K251=TRUE,"User only","Paper only")))</x:f>
        <x:v>Not analysed in paper</x:v>
      </x:c>
      <x:c r="V251" s="34" t="str">
        <x:f>IF(M251=FALSE,"Not analysed in paper",IF(L251=FALSE,"User not reliable/significant",IF(N251=FALSE,"Paper not significant",IF(P251="","Exact paper latency unavailable",IF(T251&lt;=10,"Close (&lt;=10 ms)",IF(T251&lt;=20,"Similar (10-20 ms)","Different (&gt;20 ms)"))))))</x:f>
        <x:v>Not analysed in paper</x:v>
      </x:c>
      <x:c r="W251" s="37" t="b">
        <x:v>0</x:v>
      </x:c>
      <x:c r="X251" s="38"/>
      <x:c r="Y251" s="38"/>
      <x:c r="Z251" s="39"/>
      <x:c r="AA251" s="39" t="str">
        <x:f>IF(W251=FALSE,"Not explicitly reported in PDF",IF(AND(G251&gt;=X251,G251&lt;=Y251),"Within PDF value/range",IF(MIN(ABS(G251-X251),ABS(G251-Y251))&lt;=15,"Within 15 ms of PDF","Different from PDF")))</x:f>
        <x:v>Not explicitly reported in PDF</x:v>
      </x:c>
    </x:row>
    <x:row r="252">
      <x:c r="A252" s="20" t="str">
        <x:v>PR</x:v>
      </x:c>
      <x:c r="B252" s="20" t="str">
        <x:v>Perireunensis nucleus</x:v>
      </x:c>
      <x:c r="C252" s="20" t="str">
        <x:v>Thalamus</x:v>
      </x:c>
      <x:c r="D252" s="24" t="n">
        <x:v>5</x:v>
      </x:c>
      <x:c r="E252" s="24" t="n">
        <x:v>28</x:v>
      </x:c>
      <x:c r="F252" s="25" t="n">
        <x:v>1.2227358106445336</x:v>
      </x:c>
      <x:c r="G252" s="25" t="n">
        <x:v>5</x:v>
      </x:c>
      <x:c r="H252" s="26" t="n">
        <x:v>0.9010989010989012</x:v>
      </x:c>
      <x:c r="I252" s="26" t="n">
        <x:v>0.9399698340874812</x:v>
      </x:c>
      <x:c r="J252" s="27" t="b">
        <x:v>1</x:v>
      </x:c>
      <x:c r="K252" s="27" t="b">
        <x:v>0</x:v>
      </x:c>
      <x:c r="L252" s="24" t="b">
        <x:f>AND(J252,K252)</x:f>
        <x:v>0</x:v>
      </x:c>
      <x:c r="M252" s="29" t="b">
        <x:v>1</x:v>
      </x:c>
      <x:c r="N252" s="30" t="n">
        <x:v>0</x:v>
      </x:c>
      <x:c r="O252" s="31" t="n">
        <x:v>-0.56</x:v>
      </x:c>
      <x:c r="P252" s="31"/>
      <x:c r="Q252" s="31"/>
      <x:c r="R252" s="31"/>
      <x:c r="S252" s="33" t="str">
        <x:f>IF(OR(G252="",P252=""),"",G252-P252)</x:f>
      </x:c>
      <x:c r="T252" s="33" t="str">
        <x:f>IF(S252="","",ABS(S252))</x:f>
      </x:c>
      <x:c r="U252" s="34" t="str">
        <x:f>IF(M252=FALSE,"Not analysed in paper",IF(K252=N252,"Significance agrees",IF(K252=TRUE,"User only","Paper only")))</x:f>
        <x:v>Significance agrees</x:v>
      </x:c>
      <x:c r="V252" s="34" t="str">
        <x:f>IF(M252=FALSE,"Not analysed in paper",IF(L252=FALSE,"User not reliable/significant",IF(N252=FALSE,"Paper not significant",IF(P252="","Exact paper latency unavailable",IF(T252&lt;=10,"Close (&lt;=10 ms)",IF(T252&lt;=20,"Similar (10-20 ms)","Different (&gt;20 ms)"))))))</x:f>
        <x:v>User not reliable/significant</x:v>
      </x:c>
      <x:c r="W252" s="37" t="b">
        <x:v>0</x:v>
      </x:c>
      <x:c r="X252" s="38"/>
      <x:c r="Y252" s="38"/>
      <x:c r="Z252" s="39"/>
      <x:c r="AA252" s="39" t="str">
        <x:f>IF(W252=FALSE,"Not explicitly reported in PDF",IF(AND(G252&gt;=X252,G252&lt;=Y252),"Within PDF value/range",IF(MIN(ABS(G252-X252),ABS(G252-Y252))&lt;=15,"Within 15 ms of PDF","Different from PDF")))</x:f>
        <x:v>Not explicitly reported in PDF</x:v>
      </x:c>
    </x:row>
    <x:row r="253">
      <x:c r="A253" s="20" t="str">
        <x:v>PT</x:v>
      </x:c>
      <x:c r="B253" s="20" t="str">
        <x:v>Parataenial nucleus</x:v>
      </x:c>
      <x:c r="C253" s="20" t="str">
        <x:v>Thalamus</x:v>
      </x:c>
      <x:c r="D253" s="24" t="n">
        <x:v>1</x:v>
      </x:c>
      <x:c r="E253" s="24" t="n">
        <x:v>4</x:v>
      </x:c>
      <x:c r="F253" s="25" t="n">
        <x:v>1.2344131248019354</x:v>
      </x:c>
      <x:c r="G253" s="25" t="n">
        <x:v>7.808626221107981</x:v>
      </x:c>
      <x:c r="H253" s="26" t="n">
        <x:v>0.7082917082917083</x:v>
      </x:c>
      <x:c r="I253" s="26" t="n">
        <x:v>0.7916435029405741</x:v>
      </x:c>
      <x:c r="J253" s="27" t="b">
        <x:v>0</x:v>
      </x:c>
      <x:c r="K253" s="27" t="b">
        <x:v>0</x:v>
      </x:c>
      <x:c r="L253" s="24" t="b">
        <x:f>AND(J253,K253)</x:f>
        <x:v>0</x:v>
      </x:c>
      <x:c r="M253" s="29" t="b">
        <x:v>0</x:v>
      </x:c>
      <x:c r="N253" s="30"/>
      <x:c r="O253" s="31"/>
      <x:c r="P253" s="31"/>
      <x:c r="Q253" s="31"/>
      <x:c r="R253" s="31"/>
      <x:c r="S253" s="33" t="str">
        <x:f>IF(OR(G253="",P253=""),"",G253-P253)</x:f>
      </x:c>
      <x:c r="T253" s="33" t="str">
        <x:f>IF(S253="","",ABS(S253))</x:f>
      </x:c>
      <x:c r="U253" s="34" t="str">
        <x:f>IF(M253=FALSE,"Not analysed in paper",IF(K253=N253,"Significance agrees",IF(K253=TRUE,"User only","Paper only")))</x:f>
        <x:v>Not analysed in paper</x:v>
      </x:c>
      <x:c r="V253" s="34" t="str">
        <x:f>IF(M253=FALSE,"Not analysed in paper",IF(L253=FALSE,"User not reliable/significant",IF(N253=FALSE,"Paper not significant",IF(P253="","Exact paper latency unavailable",IF(T253&lt;=10,"Close (&lt;=10 ms)",IF(T253&lt;=20,"Similar (10-20 ms)","Different (&gt;20 ms)"))))))</x:f>
        <x:v>Not analysed in paper</x:v>
      </x:c>
      <x:c r="W253" s="37" t="b">
        <x:v>0</x:v>
      </x:c>
      <x:c r="X253" s="38"/>
      <x:c r="Y253" s="38"/>
      <x:c r="Z253" s="39"/>
      <x:c r="AA253" s="39" t="str">
        <x:f>IF(W253=FALSE,"Not explicitly reported in PDF",IF(AND(G253&gt;=X253,G253&lt;=Y253),"Within PDF value/range",IF(MIN(ABS(G253-X253),ABS(G253-Y253))&lt;=15,"Within 15 ms of PDF","Different from PDF")))</x:f>
        <x:v>Not explicitly reported in PDF</x:v>
      </x:c>
    </x:row>
    <x:row r="254">
      <x:c r="A254" s="20" t="str">
        <x:v>PVT</x:v>
      </x:c>
      <x:c r="B254" s="20" t="str">
        <x:v>Paraventricular nucleus of the thalamus</x:v>
      </x:c>
      <x:c r="C254" s="20" t="str">
        <x:v>Thalamus</x:v>
      </x:c>
      <x:c r="D254" s="24" t="n">
        <x:v>8</x:v>
      </x:c>
      <x:c r="E254" s="24" t="n">
        <x:v>84</x:v>
      </x:c>
      <x:c r="F254" s="25" t="n">
        <x:v>0.7616892994795852</x:v>
      </x:c>
      <x:c r="G254" s="25" t="n">
        <x:v>59.03680029011734</x:v>
      </x:c>
      <x:c r="H254" s="26" t="n">
        <x:v>0.3936063936063936</x:v>
      </x:c>
      <x:c r="I254" s="26" t="n">
        <x:v>0.538282230589923</x:v>
      </x:c>
      <x:c r="J254" s="27" t="b">
        <x:v>1</x:v>
      </x:c>
      <x:c r="K254" s="27" t="b">
        <x:v>0</x:v>
      </x:c>
      <x:c r="L254" s="24" t="b">
        <x:f>AND(J254,K254)</x:f>
        <x:v>0</x:v>
      </x:c>
      <x:c r="M254" s="29" t="b">
        <x:v>1</x:v>
      </x:c>
      <x:c r="N254" s="30" t="n">
        <x:v>0</x:v>
      </x:c>
      <x:c r="O254" s="31" t="n">
        <x:v>-0.98</x:v>
      </x:c>
      <x:c r="P254" s="31" t="n">
        <x:v>61.702127659574394</x:v>
      </x:c>
      <x:c r="Q254" s="31" t="n">
        <x:v>0.1167194017653042</x:v>
      </x:c>
      <x:c r="R254" s="31" t="n">
        <x:v>0</x:v>
      </x:c>
      <x:c r="S254" s="33" t="n">
        <x:f>IF(OR(G254="",P254=""),"",G254-P254)</x:f>
        <x:v>-2.665327369457053</x:v>
      </x:c>
      <x:c r="T254" s="33" t="n">
        <x:f>IF(S254="","",ABS(S254))</x:f>
        <x:v>2.665327369457053</x:v>
      </x:c>
      <x:c r="U254" s="34" t="str">
        <x:f>IF(M254=FALSE,"Not analysed in paper",IF(K254=N254,"Significance agrees",IF(K254=TRUE,"User only","Paper only")))</x:f>
        <x:v>Significance agrees</x:v>
      </x:c>
      <x:c r="V254" s="34" t="str">
        <x:f>IF(M254=FALSE,"Not analysed in paper",IF(L254=FALSE,"User not reliable/significant",IF(N254=FALSE,"Paper not significant",IF(P254="","Exact paper latency unavailable",IF(T254&lt;=10,"Close (&lt;=10 ms)",IF(T254&lt;=20,"Similar (10-20 ms)","Different (&gt;20 ms)"))))))</x:f>
        <x:v>User not reliable/significant</x:v>
      </x:c>
      <x:c r="W254" s="37" t="b">
        <x:v>0</x:v>
      </x:c>
      <x:c r="X254" s="38"/>
      <x:c r="Y254" s="38"/>
      <x:c r="Z254" s="39"/>
      <x:c r="AA254" s="39" t="str">
        <x:f>IF(W254=FALSE,"Not explicitly reported in PDF",IF(AND(G254&gt;=X254,G254&lt;=Y254),"Within PDF value/range",IF(MIN(ABS(G254-X254),ABS(G254-Y254))&lt;=15,"Within 15 ms of PDF","Different from PDF")))</x:f>
        <x:v>Not explicitly reported in PDF</x:v>
      </x:c>
    </x:row>
    <x:row r="255">
      <x:c r="A255" s="20" t="str">
        <x:v>PoT</x:v>
      </x:c>
      <x:c r="B255" s="20" t="str">
        <x:v>Posterior triangular thalamic nucleus</x:v>
      </x:c>
      <x:c r="C255" s="20" t="str">
        <x:v>Thalamus</x:v>
      </x:c>
      <x:c r="D255" s="24" t="n">
        <x:v>19</x:v>
      </x:c>
      <x:c r="E255" s="24" t="n">
        <x:v>228</x:v>
      </x:c>
      <x:c r="F255" s="25" t="n">
        <x:v>2.4214014305251466</x:v>
      </x:c>
      <x:c r="G255" s="25" t="n">
        <x:v>136.18483619597444</x:v>
      </x:c>
      <x:c r="H255" s="26" t="n">
        <x:v>0.0409590409590409</x:v>
      </x:c>
      <x:c r="I255" s="26" t="n">
        <x:v>0.0999550907807788</x:v>
      </x:c>
      <x:c r="J255" s="27" t="b">
        <x:v>1</x:v>
      </x:c>
      <x:c r="K255" s="27" t="b">
        <x:v>0</x:v>
      </x:c>
      <x:c r="L255" s="24" t="b">
        <x:f>AND(J255,K255)</x:f>
        <x:v>0</x:v>
      </x:c>
      <x:c r="M255" s="29" t="b">
        <x:v>1</x:v>
      </x:c>
      <x:c r="N255" s="30" t="n">
        <x:v>0</x:v>
      </x:c>
      <x:c r="O255" s="31" t="n">
        <x:v>-0.83</x:v>
      </x:c>
      <x:c r="P255" s="31" t="n">
        <x:v>0</x:v>
      </x:c>
      <x:c r="Q255" s="31" t="n">
        <x:v>0.1616999363633958</x:v>
      </x:c>
      <x:c r="R255" s="31" t="n">
        <x:v>0</x:v>
      </x:c>
      <x:c r="S255" s="33" t="str">
        <x:f>IF(OR(G255="",P255=""),"",G255-P255)</x:f>
      </x:c>
      <x:c r="T255" s="33" t="str">
        <x:f>IF(S255="","",ABS(S255))</x:f>
      </x:c>
      <x:c r="U255" s="34" t="str">
        <x:f>IF(M255=FALSE,"Not analysed in paper",IF(K255=N255,"Significance agrees",IF(K255=TRUE,"User only","Paper only")))</x:f>
        <x:v>Significance agrees</x:v>
      </x:c>
      <x:c r="V255" s="34" t="str">
        <x:f>IF(M255=FALSE,"Not analysed in paper",IF(L255=FALSE,"User not reliable/significant",IF(N255=FALSE,"Paper not significant",IF(P255="","Exact paper latency unavailable",IF(T255&lt;=10,"Close (&lt;=10 ms)",IF(T255&lt;=20,"Similar (10-20 ms)","Different (&gt;20 ms)"))))))</x:f>
        <x:v>User not reliable/significant</x:v>
      </x:c>
      <x:c r="W255" s="37" t="b">
        <x:v>0</x:v>
      </x:c>
      <x:c r="X255" s="38"/>
      <x:c r="Y255" s="38"/>
      <x:c r="Z255" s="39"/>
      <x:c r="AA255" s="39" t="str">
        <x:f>IF(W255=FALSE,"Not explicitly reported in PDF",IF(AND(G255&gt;=X255,G255&lt;=Y255),"Within PDF value/range",IF(MIN(ABS(G255-X255),ABS(G255-Y255))&lt;=15,"Within 15 ms of PDF","Different from PDF")))</x:f>
        <x:v>Not explicitly reported in PDF</x:v>
      </x:c>
    </x:row>
    <x:row r="256">
      <x:c r="A256" s="20" t="str">
        <x:v>RE</x:v>
      </x:c>
      <x:c r="B256" s="20" t="str">
        <x:v>Nucleus of reuniens</x:v>
      </x:c>
      <x:c r="C256" s="20" t="str">
        <x:v>Thalamus</x:v>
      </x:c>
      <x:c r="D256" s="24" t="n">
        <x:v>3</x:v>
      </x:c>
      <x:c r="E256" s="24" t="n">
        <x:v>8</x:v>
      </x:c>
      <x:c r="F256" s="25" t="n">
        <x:v>3.8396081882636497</x:v>
      </x:c>
      <x:c r="G256" s="25" t="n">
        <x:v>12.87332378202357</x:v>
      </x:c>
      <x:c r="H256" s="26" t="n">
        <x:v>0.5334665334665335</x:v>
      </x:c>
      <x:c r="I256" s="26" t="n">
        <x:v>0.6725217910052034</x:v>
      </x:c>
      <x:c r="J256" s="27" t="b">
        <x:v>0</x:v>
      </x:c>
      <x:c r="K256" s="27" t="b">
        <x:v>0</x:v>
      </x:c>
      <x:c r="L256" s="24" t="b">
        <x:f>AND(J256,K256)</x:f>
        <x:v>0</x:v>
      </x:c>
      <x:c r="M256" s="29" t="b">
        <x:v>0</x:v>
      </x:c>
      <x:c r="N256" s="30"/>
      <x:c r="O256" s="31"/>
      <x:c r="P256" s="31"/>
      <x:c r="Q256" s="31"/>
      <x:c r="R256" s="31"/>
      <x:c r="S256" s="33" t="str">
        <x:f>IF(OR(G256="",P256=""),"",G256-P256)</x:f>
      </x:c>
      <x:c r="T256" s="33" t="str">
        <x:f>IF(S256="","",ABS(S256))</x:f>
      </x:c>
      <x:c r="U256" s="34" t="str">
        <x:f>IF(M256=FALSE,"Not analysed in paper",IF(K256=N256,"Significance agrees",IF(K256=TRUE,"User only","Paper only")))</x:f>
        <x:v>Not analysed in paper</x:v>
      </x:c>
      <x:c r="V256" s="34" t="str">
        <x:f>IF(M256=FALSE,"Not analysed in paper",IF(L256=FALSE,"User not reliable/significant",IF(N256=FALSE,"Paper not significant",IF(P256="","Exact paper latency unavailable",IF(T256&lt;=10,"Close (&lt;=10 ms)",IF(T256&lt;=20,"Similar (10-20 ms)","Different (&gt;20 ms)"))))))</x:f>
        <x:v>Not analysed in paper</x:v>
      </x:c>
      <x:c r="W256" s="37" t="b">
        <x:v>0</x:v>
      </x:c>
      <x:c r="X256" s="38"/>
      <x:c r="Y256" s="38"/>
      <x:c r="Z256" s="39"/>
      <x:c r="AA256" s="39" t="str">
        <x:f>IF(W256=FALSE,"Not explicitly reported in PDF",IF(AND(G256&gt;=X256,G256&lt;=Y256),"Within PDF value/range",IF(MIN(ABS(G256-X256),ABS(G256-Y256))&lt;=15,"Within 15 ms of PDF","Different from PDF")))</x:f>
        <x:v>Not explicitly reported in PDF</x:v>
      </x:c>
    </x:row>
    <x:row r="257">
      <x:c r="A257" s="20" t="str">
        <x:v>RH</x:v>
      </x:c>
      <x:c r="B257" s="20" t="str">
        <x:v>Rhomboid nucleus</x:v>
      </x:c>
      <x:c r="C257" s="20" t="str">
        <x:v>Thalamus</x:v>
      </x:c>
      <x:c r="D257" s="24" t="n">
        <x:v>2</x:v>
      </x:c>
      <x:c r="E257" s="24" t="n">
        <x:v>6</x:v>
      </x:c>
      <x:c r="F257" s="25" t="n">
        <x:v>3.164599540125357</x:v>
      </x:c>
      <x:c r="G257" s="25" t="n">
        <x:v>22.920999333286296</x:v>
      </x:c>
      <x:c r="H257" s="26" t="n">
        <x:v>0.8841158841158842</x:v>
      </x:c>
      <x:c r="I257" s="26" t="n">
        <x:v>0.9305950966030018</x:v>
      </x:c>
      <x:c r="J257" s="27" t="b">
        <x:v>0</x:v>
      </x:c>
      <x:c r="K257" s="27" t="b">
        <x:v>0</x:v>
      </x:c>
      <x:c r="L257" s="24" t="b">
        <x:f>AND(J257,K257)</x:f>
        <x:v>0</x:v>
      </x:c>
      <x:c r="M257" s="29" t="b">
        <x:v>0</x:v>
      </x:c>
      <x:c r="N257" s="30"/>
      <x:c r="O257" s="31"/>
      <x:c r="P257" s="31"/>
      <x:c r="Q257" s="31"/>
      <x:c r="R257" s="31"/>
      <x:c r="S257" s="33" t="str">
        <x:f>IF(OR(G257="",P257=""),"",G257-P257)</x:f>
      </x:c>
      <x:c r="T257" s="33" t="str">
        <x:f>IF(S257="","",ABS(S257))</x:f>
      </x:c>
      <x:c r="U257" s="34" t="str">
        <x:f>IF(M257=FALSE,"Not analysed in paper",IF(K257=N257,"Significance agrees",IF(K257=TRUE,"User only","Paper only")))</x:f>
        <x:v>Not analysed in paper</x:v>
      </x:c>
      <x:c r="V257" s="34" t="str">
        <x:f>IF(M257=FALSE,"Not analysed in paper",IF(L257=FALSE,"User not reliable/significant",IF(N257=FALSE,"Paper not significant",IF(P257="","Exact paper latency unavailable",IF(T257&lt;=10,"Close (&lt;=10 ms)",IF(T257&lt;=20,"Similar (10-20 ms)","Different (&gt;20 ms)"))))))</x:f>
        <x:v>Not analysed in paper</x:v>
      </x:c>
      <x:c r="W257" s="37" t="b">
        <x:v>0</x:v>
      </x:c>
      <x:c r="X257" s="38"/>
      <x:c r="Y257" s="38"/>
      <x:c r="Z257" s="39"/>
      <x:c r="AA257" s="39" t="str">
        <x:f>IF(W257=FALSE,"Not explicitly reported in PDF",IF(AND(G257&gt;=X257,G257&lt;=Y257),"Within PDF value/range",IF(MIN(ABS(G257-X257),ABS(G257-Y257))&lt;=15,"Within 15 ms of PDF","Different from PDF")))</x:f>
        <x:v>Not explicitly reported in PDF</x:v>
      </x:c>
    </x:row>
    <x:row r="258">
      <x:c r="A258" s="20" t="str">
        <x:v>RT</x:v>
      </x:c>
      <x:c r="B258" s="20" t="str">
        <x:v>Reticular nucleus of the thalamus</x:v>
      </x:c>
      <x:c r="C258" s="20" t="str">
        <x:v>Thalamus</x:v>
      </x:c>
      <x:c r="D258" s="24" t="n">
        <x:v>25</x:v>
      </x:c>
      <x:c r="E258" s="24" t="n">
        <x:v>421</x:v>
      </x:c>
      <x:c r="F258" s="25" t="n">
        <x:v>5.40445221221005</x:v>
      </x:c>
      <x:c r="G258" s="25" t="n">
        <x:v>128.90581058121242</x:v>
      </x:c>
      <x:c r="H258" s="26" t="n">
        <x:v>0.0129870129870129</x:v>
      </x:c>
      <x:c r="I258" s="26" t="n">
        <x:v>0.046060606060606</x:v>
      </x:c>
      <x:c r="J258" s="27" t="b">
        <x:v>1</x:v>
      </x:c>
      <x:c r="K258" s="27" t="b">
        <x:v>0</x:v>
      </x:c>
      <x:c r="L258" s="24" t="b">
        <x:f>AND(J258,K258)</x:f>
        <x:v>0</x:v>
      </x:c>
      <x:c r="M258" s="29" t="b">
        <x:v>1</x:v>
      </x:c>
      <x:c r="N258" s="30" t="n">
        <x:v>0</x:v>
      </x:c>
      <x:c r="O258" s="31" t="n">
        <x:v>-0.73</x:v>
      </x:c>
      <x:c r="P258" s="31" t="n">
        <x:v>74.4680851063829</x:v>
      </x:c>
      <x:c r="Q258" s="31" t="n">
        <x:v>0.3282248813668498</x:v>
      </x:c>
      <x:c r="R258" s="31" t="n">
        <x:v>1</x:v>
      </x:c>
      <x:c r="S258" s="33" t="n">
        <x:f>IF(OR(G258="",P258=""),"",G258-P258)</x:f>
        <x:v>54.43772547482952</x:v>
      </x:c>
      <x:c r="T258" s="33" t="n">
        <x:f>IF(S258="","",ABS(S258))</x:f>
        <x:v>54.43772547482952</x:v>
      </x:c>
      <x:c r="U258" s="34" t="str">
        <x:f>IF(M258=FALSE,"Not analysed in paper",IF(K258=N258,"Significance agrees",IF(K258=TRUE,"User only","Paper only")))</x:f>
        <x:v>Significance agrees</x:v>
      </x:c>
      <x:c r="V258" s="34" t="str">
        <x:f>IF(M258=FALSE,"Not analysed in paper",IF(L258=FALSE,"User not reliable/significant",IF(N258=FALSE,"Paper not significant",IF(P258="","Exact paper latency unavailable",IF(T258&lt;=10,"Close (&lt;=10 ms)",IF(T258&lt;=20,"Similar (10-20 ms)","Different (&gt;20 ms)"))))))</x:f>
        <x:v>User not reliable/significant</x:v>
      </x:c>
      <x:c r="W258" s="37" t="b">
        <x:v>0</x:v>
      </x:c>
      <x:c r="X258" s="38"/>
      <x:c r="Y258" s="38"/>
      <x:c r="Z258" s="39"/>
      <x:c r="AA258" s="39" t="str">
        <x:f>IF(W258=FALSE,"Not explicitly reported in PDF",IF(AND(G258&gt;=X258,G258&lt;=Y258),"Within PDF value/range",IF(MIN(ABS(G258-X258),ABS(G258-Y258))&lt;=15,"Within 15 ms of PDF","Different from PDF")))</x:f>
        <x:v>Not explicitly reported in PDF</x:v>
      </x:c>
    </x:row>
    <x:row r="259">
      <x:c r="A259" s="20" t="str">
        <x:v>SGN</x:v>
      </x:c>
      <x:c r="B259" s="20" t="str">
        <x:v>Suprageniculate nucleus</x:v>
      </x:c>
      <x:c r="C259" s="20" t="str">
        <x:v>Thalamus</x:v>
      </x:c>
      <x:c r="D259" s="24" t="n">
        <x:v>10</x:v>
      </x:c>
      <x:c r="E259" s="24" t="n">
        <x:v>131</x:v>
      </x:c>
      <x:c r="F259" s="25" t="n">
        <x:v>1.569541978907326</x:v>
      </x:c>
      <x:c r="G259" s="25" t="n">
        <x:v>50.674264204863015</x:v>
      </x:c>
      <x:c r="H259" s="26" t="n">
        <x:v>0.1048951048951049</x:v>
      </x:c>
      <x:c r="I259" s="26" t="n">
        <x:v>0.2071164129987659</x:v>
      </x:c>
      <x:c r="J259" s="27" t="b">
        <x:v>1</x:v>
      </x:c>
      <x:c r="K259" s="27" t="b">
        <x:v>0</x:v>
      </x:c>
      <x:c r="L259" s="24" t="b">
        <x:f>AND(J259,K259)</x:f>
        <x:v>0</x:v>
      </x:c>
      <x:c r="M259" s="29" t="b">
        <x:v>1</x:v>
      </x:c>
      <x:c r="N259" s="30" t="n">
        <x:v>1</x:v>
      </x:c>
      <x:c r="O259" s="31" t="n">
        <x:v>-0.61</x:v>
      </x:c>
      <x:c r="P259" s="31" t="n">
        <x:v>51.063829787234</x:v>
      </x:c>
      <x:c r="Q259" s="31" t="n">
        <x:v>0.3185001555348991</x:v>
      </x:c>
      <x:c r="R259" s="31" t="n">
        <x:v>1</x:v>
      </x:c>
      <x:c r="S259" s="33" t="n">
        <x:f>IF(OR(G259="",P259=""),"",G259-P259)</x:f>
        <x:v>-0.3895655823709845</x:v>
      </x:c>
      <x:c r="T259" s="33" t="n">
        <x:f>IF(S259="","",ABS(S259))</x:f>
        <x:v>0.3895655823709845</x:v>
      </x:c>
      <x:c r="U259" s="34" t="str">
        <x:f>IF(M259=FALSE,"Not analysed in paper",IF(K259=N259,"Significance agrees",IF(K259=TRUE,"User only","Paper only")))</x:f>
        <x:v>Paper only</x:v>
      </x:c>
      <x:c r="V259" s="34" t="str">
        <x:f>IF(M259=FALSE,"Not analysed in paper",IF(L259=FALSE,"User not reliable/significant",IF(N259=FALSE,"Paper not significant",IF(P259="","Exact paper latency unavailable",IF(T259&lt;=10,"Close (&lt;=10 ms)",IF(T259&lt;=20,"Similar (10-20 ms)","Different (&gt;20 ms)"))))))</x:f>
        <x:v>User not reliable/significant</x:v>
      </x:c>
      <x:c r="W259" s="37" t="b">
        <x:v>0</x:v>
      </x:c>
      <x:c r="X259" s="38"/>
      <x:c r="Y259" s="38"/>
      <x:c r="Z259" s="39"/>
      <x:c r="AA259" s="39" t="str">
        <x:f>IF(W259=FALSE,"Not explicitly reported in PDF",IF(AND(G259&gt;=X259,G259&lt;=Y259),"Within PDF value/range",IF(MIN(ABS(G259-X259),ABS(G259-Y259))&lt;=15,"Within 15 ms of PDF","Different from PDF")))</x:f>
        <x:v>Not explicitly reported in PDF</x:v>
      </x:c>
    </x:row>
    <x:row r="260">
      <x:c r="A260" s="20" t="str">
        <x:v>SMT</x:v>
      </x:c>
      <x:c r="B260" s="20" t="str">
        <x:v>Submedial nucleus of the thalamus</x:v>
      </x:c>
      <x:c r="C260" s="20" t="str">
        <x:v>Thalamus</x:v>
      </x:c>
      <x:c r="D260" s="24" t="n">
        <x:v>6</x:v>
      </x:c>
      <x:c r="E260" s="24" t="n">
        <x:v>140</x:v>
      </x:c>
      <x:c r="F260" s="25" t="n">
        <x:v>7.150471164932259</x:v>
      </x:c>
      <x:c r="G260" s="25" t="n">
        <x:v>124.73994594414184</x:v>
      </x:c>
      <x:c r="H260" s="26" t="n">
        <x:v>0.0439560439560439</x:v>
      </x:c>
      <x:c r="I260" s="26" t="n">
        <x:v>0.1053361053361053</x:v>
      </x:c>
      <x:c r="J260" s="27" t="b">
        <x:v>1</x:v>
      </x:c>
      <x:c r="K260" s="27" t="b">
        <x:v>0</x:v>
      </x:c>
      <x:c r="L260" s="24" t="b">
        <x:f>AND(J260,K260)</x:f>
        <x:v>0</x:v>
      </x:c>
      <x:c r="M260" s="29" t="b">
        <x:v>1</x:v>
      </x:c>
      <x:c r="N260" s="30" t="n">
        <x:v>1</x:v>
      </x:c>
      <x:c r="O260" s="31" t="n">
        <x:v>-0.58</x:v>
      </x:c>
      <x:c r="P260" s="31" t="n">
        <x:v>95.7446808510638</x:v>
      </x:c>
      <x:c r="Q260" s="31" t="n">
        <x:v>0.3083667942226739</x:v>
      </x:c>
      <x:c r="R260" s="31" t="n">
        <x:v>1</x:v>
      </x:c>
      <x:c r="S260" s="33" t="n">
        <x:f>IF(OR(G260="",P260=""),"",G260-P260)</x:f>
        <x:v>28.995265093078032</x:v>
      </x:c>
      <x:c r="T260" s="33" t="n">
        <x:f>IF(S260="","",ABS(S260))</x:f>
        <x:v>28.995265093078032</x:v>
      </x:c>
      <x:c r="U260" s="34" t="str">
        <x:f>IF(M260=FALSE,"Not analysed in paper",IF(K260=N260,"Significance agrees",IF(K260=TRUE,"User only","Paper only")))</x:f>
        <x:v>Paper only</x:v>
      </x:c>
      <x:c r="V260" s="34" t="str">
        <x:f>IF(M260=FALSE,"Not analysed in paper",IF(L260=FALSE,"User not reliable/significant",IF(N260=FALSE,"Paper not significant",IF(P260="","Exact paper latency unavailable",IF(T260&lt;=10,"Close (&lt;=10 ms)",IF(T260&lt;=20,"Similar (10-20 ms)","Different (&gt;20 ms)"))))))</x:f>
        <x:v>User not reliable/significant</x:v>
      </x:c>
      <x:c r="W260" s="37" t="b">
        <x:v>0</x:v>
      </x:c>
      <x:c r="X260" s="38"/>
      <x:c r="Y260" s="38"/>
      <x:c r="Z260" s="39"/>
      <x:c r="AA260" s="39" t="str">
        <x:f>IF(W260=FALSE,"Not explicitly reported in PDF",IF(AND(G260&gt;=X260,G260&lt;=Y260),"Within PDF value/range",IF(MIN(ABS(G260-X260),ABS(G260-Y260))&lt;=15,"Within 15 ms of PDF","Different from PDF")))</x:f>
        <x:v>Not explicitly reported in PDF</x:v>
      </x:c>
    </x:row>
    <x:row r="261">
      <x:c r="A261" s="20" t="str">
        <x:v>SPA</x:v>
      </x:c>
      <x:c r="B261" s="20" t="str">
        <x:v>Subparafascicular area</x:v>
      </x:c>
      <x:c r="C261" s="20" t="str">
        <x:v>Thalamus</x:v>
      </x:c>
      <x:c r="D261" s="24" t="n">
        <x:v>4</x:v>
      </x:c>
      <x:c r="E261" s="24" t="n">
        <x:v>25</x:v>
      </x:c>
      <x:c r="F261" s="25" t="n">
        <x:v>1.4328573884614455</x:v>
      </x:c>
      <x:c r="G261" s="25" t="n">
        <x:v>5</x:v>
      </x:c>
      <x:c r="H261" s="26" t="n">
        <x:v>0.3746253746253746</x:v>
      </x:c>
      <x:c r="I261" s="26" t="n">
        <x:v>0.5258741258741259</x:v>
      </x:c>
      <x:c r="J261" s="27" t="b">
        <x:v>1</x:v>
      </x:c>
      <x:c r="K261" s="27" t="b">
        <x:v>0</x:v>
      </x:c>
      <x:c r="L261" s="24" t="b">
        <x:f>AND(J261,K261)</x:f>
        <x:v>0</x:v>
      </x:c>
      <x:c r="M261" s="29" t="b">
        <x:v>0</x:v>
      </x:c>
      <x:c r="N261" s="30"/>
      <x:c r="O261" s="31"/>
      <x:c r="P261" s="31"/>
      <x:c r="Q261" s="31"/>
      <x:c r="R261" s="31"/>
      <x:c r="S261" s="33" t="str">
        <x:f>IF(OR(G261="",P261=""),"",G261-P261)</x:f>
      </x:c>
      <x:c r="T261" s="33" t="str">
        <x:f>IF(S261="","",ABS(S261))</x:f>
      </x:c>
      <x:c r="U261" s="34" t="str">
        <x:f>IF(M261=FALSE,"Not analysed in paper",IF(K261=N261,"Significance agrees",IF(K261=TRUE,"User only","Paper only")))</x:f>
        <x:v>Not analysed in paper</x:v>
      </x:c>
      <x:c r="V261" s="34" t="str">
        <x:f>IF(M261=FALSE,"Not analysed in paper",IF(L261=FALSE,"User not reliable/significant",IF(N261=FALSE,"Paper not significant",IF(P261="","Exact paper latency unavailable",IF(T261&lt;=10,"Close (&lt;=10 ms)",IF(T261&lt;=20,"Similar (10-20 ms)","Different (&gt;20 ms)"))))))</x:f>
        <x:v>Not analysed in paper</x:v>
      </x:c>
      <x:c r="W261" s="37" t="b">
        <x:v>0</x:v>
      </x:c>
      <x:c r="X261" s="38"/>
      <x:c r="Y261" s="38"/>
      <x:c r="Z261" s="39"/>
      <x:c r="AA261" s="39" t="str">
        <x:f>IF(W261=FALSE,"Not explicitly reported in PDF",IF(AND(G261&gt;=X261,G261&lt;=Y261),"Within PDF value/range",IF(MIN(ABS(G261-X261),ABS(G261-Y261))&lt;=15,"Within 15 ms of PDF","Different from PDF")))</x:f>
        <x:v>Not explicitly reported in PDF</x:v>
      </x:c>
    </x:row>
    <x:row r="262">
      <x:c r="A262" s="20" t="str">
        <x:v>SPF</x:v>
      </x:c>
      <x:c r="B262" s="20" t="str">
        <x:v>Subparafascicular nucleus</x:v>
      </x:c>
      <x:c r="C262" s="20" t="str">
        <x:v>Thalamus</x:v>
      </x:c>
      <x:c r="D262" s="24" t="n">
        <x:v>18</x:v>
      </x:c>
      <x:c r="E262" s="24" t="n">
        <x:v>70</x:v>
      </x:c>
      <x:c r="F262" s="25" t="n">
        <x:v>3.353671355384659</x:v>
      </x:c>
      <x:c r="G262" s="25" t="n">
        <x:v>111.12739018500758</x:v>
      </x:c>
      <x:c r="H262" s="26" t="n">
        <x:v>0.0439560439560439</x:v>
      </x:c>
      <x:c r="I262" s="26" t="n">
        <x:v>0.1053361053361053</x:v>
      </x:c>
      <x:c r="J262" s="27" t="b">
        <x:v>1</x:v>
      </x:c>
      <x:c r="K262" s="27" t="b">
        <x:v>0</x:v>
      </x:c>
      <x:c r="L262" s="24" t="b">
        <x:f>AND(J262,K262)</x:f>
        <x:v>0</x:v>
      </x:c>
      <x:c r="M262" s="29" t="b">
        <x:v>1</x:v>
      </x:c>
      <x:c r="N262" s="30" t="n">
        <x:v>1</x:v>
      </x:c>
      <x:c r="O262" s="31" t="n">
        <x:v>-0.46</x:v>
      </x:c>
      <x:c r="P262" s="31"/>
      <x:c r="Q262" s="31"/>
      <x:c r="R262" s="31"/>
      <x:c r="S262" s="33" t="str">
        <x:f>IF(OR(G262="",P262=""),"",G262-P262)</x:f>
      </x:c>
      <x:c r="T262" s="33" t="str">
        <x:f>IF(S262="","",ABS(S262))</x:f>
      </x:c>
      <x:c r="U262" s="34" t="str">
        <x:f>IF(M262=FALSE,"Not analysed in paper",IF(K262=N262,"Significance agrees",IF(K262=TRUE,"User only","Paper only")))</x:f>
        <x:v>Paper only</x:v>
      </x:c>
      <x:c r="V262" s="34" t="str">
        <x:f>IF(M262=FALSE,"Not analysed in paper",IF(L262=FALSE,"User not reliable/significant",IF(N262=FALSE,"Paper not significant",IF(P262="","Exact paper latency unavailable",IF(T262&lt;=10,"Close (&lt;=10 ms)",IF(T262&lt;=20,"Similar (10-20 ms)","Different (&gt;20 ms)"))))))</x:f>
        <x:v>User not reliable/significant</x:v>
      </x:c>
      <x:c r="W262" s="37" t="b">
        <x:v>0</x:v>
      </x:c>
      <x:c r="X262" s="38"/>
      <x:c r="Y262" s="38"/>
      <x:c r="Z262" s="39"/>
      <x:c r="AA262" s="39" t="str">
        <x:f>IF(W262=FALSE,"Not explicitly reported in PDF",IF(AND(G262&gt;=X262,G262&lt;=Y262),"Within PDF value/range",IF(MIN(ABS(G262-X262),ABS(G262-Y262))&lt;=15,"Within 15 ms of PDF","Different from PDF")))</x:f>
        <x:v>Not explicitly reported in PDF</x:v>
      </x:c>
    </x:row>
    <x:row r="263">
      <x:c r="A263" s="20" t="str">
        <x:v>SubG</x:v>
      </x:c>
      <x:c r="B263" s="20" t="str">
        <x:v>Subgeniculate nucleus</x:v>
      </x:c>
      <x:c r="C263" s="20" t="str">
        <x:v>Thalamus</x:v>
      </x:c>
      <x:c r="D263" s="24" t="n">
        <x:v>1</x:v>
      </x:c>
      <x:c r="E263" s="24" t="n">
        <x:v>7</x:v>
      </x:c>
      <x:c r="F263" s="25" t="n">
        <x:v>2.310198186593378</x:v>
      </x:c>
      <x:c r="G263" s="25" t="n">
        <x:v>22.45498954844326</x:v>
      </x:c>
      <x:c r="H263" s="26" t="n">
        <x:v>0.9690309690309692</x:v>
      </x:c>
      <x:c r="I263" s="26" t="n">
        <x:v>0.9814049586776858</x:v>
      </x:c>
      <x:c r="J263" s="27" t="b">
        <x:v>0</x:v>
      </x:c>
      <x:c r="K263" s="27" t="b">
        <x:v>0</x:v>
      </x:c>
      <x:c r="L263" s="24" t="b">
        <x:f>AND(J263,K263)</x:f>
        <x:v>0</x:v>
      </x:c>
      <x:c r="M263" s="29" t="b">
        <x:v>0</x:v>
      </x:c>
      <x:c r="N263" s="30"/>
      <x:c r="O263" s="31"/>
      <x:c r="P263" s="31"/>
      <x:c r="Q263" s="31"/>
      <x:c r="R263" s="31"/>
      <x:c r="S263" s="33" t="str">
        <x:f>IF(OR(G263="",P263=""),"",G263-P263)</x:f>
      </x:c>
      <x:c r="T263" s="33" t="str">
        <x:f>IF(S263="","",ABS(S263))</x:f>
      </x:c>
      <x:c r="U263" s="34" t="str">
        <x:f>IF(M263=FALSE,"Not analysed in paper",IF(K263=N263,"Significance agrees",IF(K263=TRUE,"User only","Paper only")))</x:f>
        <x:v>Not analysed in paper</x:v>
      </x:c>
      <x:c r="V263" s="34" t="str">
        <x:f>IF(M263=FALSE,"Not analysed in paper",IF(L263=FALSE,"User not reliable/significant",IF(N263=FALSE,"Paper not significant",IF(P263="","Exact paper latency unavailable",IF(T263&lt;=10,"Close (&lt;=10 ms)",IF(T263&lt;=20,"Similar (10-20 ms)","Different (&gt;20 ms)"))))))</x:f>
        <x:v>Not analysed in paper</x:v>
      </x:c>
      <x:c r="W263" s="37" t="b">
        <x:v>0</x:v>
      </x:c>
      <x:c r="X263" s="38"/>
      <x:c r="Y263" s="38"/>
      <x:c r="Z263" s="39"/>
      <x:c r="AA263" s="39" t="str">
        <x:f>IF(W263=FALSE,"Not explicitly reported in PDF",IF(AND(G263&gt;=X263,G263&lt;=Y263),"Within PDF value/range",IF(MIN(ABS(G263-X263),ABS(G263-Y263))&lt;=15,"Within 15 ms of PDF","Different from PDF")))</x:f>
        <x:v>Not explicitly reported in PDF</x:v>
      </x:c>
    </x:row>
    <x:row r="264">
      <x:c r="A264" s="20" t="str">
        <x:v>VAL</x:v>
      </x:c>
      <x:c r="B264" s="20" t="str">
        <x:v>Ventral anterior-lateral complex of the thalamus</x:v>
      </x:c>
      <x:c r="C264" s="20" t="str">
        <x:v>Thalamus</x:v>
      </x:c>
      <x:c r="D264" s="24" t="n">
        <x:v>10</x:v>
      </x:c>
      <x:c r="E264" s="24" t="n">
        <x:v>295</x:v>
      </x:c>
      <x:c r="F264" s="25" t="n">
        <x:v>4.073801118673771</x:v>
      </x:c>
      <x:c r="G264" s="25" t="n">
        <x:v>119.14798357405162</x:v>
      </x:c>
      <x:c r="H264" s="26" t="n">
        <x:v>0.2747252747252747</x:v>
      </x:c>
      <x:c r="I264" s="26" t="n">
        <x:v>0.4289044289044288</x:v>
      </x:c>
      <x:c r="J264" s="27" t="b">
        <x:v>1</x:v>
      </x:c>
      <x:c r="K264" s="27" t="b">
        <x:v>0</x:v>
      </x:c>
      <x:c r="L264" s="24" t="b">
        <x:f>AND(J264,K264)</x:f>
        <x:v>0</x:v>
      </x:c>
      <x:c r="M264" s="29" t="b">
        <x:v>1</x:v>
      </x:c>
      <x:c r="N264" s="30" t="n">
        <x:v>1</x:v>
      </x:c>
      <x:c r="O264" s="31" t="n">
        <x:v>-0.65</x:v>
      </x:c>
      <x:c r="P264" s="31" t="n">
        <x:v>38.2978723404255</x:v>
      </x:c>
      <x:c r="Q264" s="31" t="n">
        <x:v>0.1427770162750624</x:v>
      </x:c>
      <x:c r="R264" s="31" t="n">
        <x:v>1</x:v>
      </x:c>
      <x:c r="S264" s="33" t="n">
        <x:f>IF(OR(G264="",P264=""),"",G264-P264)</x:f>
        <x:v>80.85011123362612</x:v>
      </x:c>
      <x:c r="T264" s="33" t="n">
        <x:f>IF(S264="","",ABS(S264))</x:f>
        <x:v>80.85011123362612</x:v>
      </x:c>
      <x:c r="U264" s="34" t="str">
        <x:f>IF(M264=FALSE,"Not analysed in paper",IF(K264=N264,"Significance agrees",IF(K264=TRUE,"User only","Paper only")))</x:f>
        <x:v>Paper only</x:v>
      </x:c>
      <x:c r="V264" s="34" t="str">
        <x:f>IF(M264=FALSE,"Not analysed in paper",IF(L264=FALSE,"User not reliable/significant",IF(N264=FALSE,"Paper not significant",IF(P264="","Exact paper latency unavailable",IF(T264&lt;=10,"Close (&lt;=10 ms)",IF(T264&lt;=20,"Similar (10-20 ms)","Different (&gt;20 ms)"))))))</x:f>
        <x:v>User not reliable/significant</x:v>
      </x:c>
      <x:c r="W264" s="37" t="b">
        <x:v>0</x:v>
      </x:c>
      <x:c r="X264" s="38"/>
      <x:c r="Y264" s="38"/>
      <x:c r="Z264" s="39"/>
      <x:c r="AA264" s="39" t="str">
        <x:f>IF(W264=FALSE,"Not explicitly reported in PDF",IF(AND(G264&gt;=X264,G264&lt;=Y264),"Within PDF value/range",IF(MIN(ABS(G264-X264),ABS(G264-Y264))&lt;=15,"Within 15 ms of PDF","Different from PDF")))</x:f>
        <x:v>Not explicitly reported in PDF</x:v>
      </x:c>
    </x:row>
    <x:row r="265">
      <x:c r="A265" s="20" t="str">
        <x:v>VM</x:v>
      </x:c>
      <x:c r="B265" s="20" t="str">
        <x:v>Ventral medial nucleus of the thalamus</x:v>
      </x:c>
      <x:c r="C265" s="20" t="str">
        <x:v>Thalamus</x:v>
      </x:c>
      <x:c r="D265" s="24" t="n">
        <x:v>15</x:v>
      </x:c>
      <x:c r="E265" s="24" t="n">
        <x:v>118</x:v>
      </x:c>
      <x:c r="F265" s="25" t="n">
        <x:v>4.634389054073221</x:v>
      </x:c>
      <x:c r="G265" s="25" t="n">
        <x:v>97.97267591641616</x:v>
      </x:c>
      <x:c r="H265" s="26" t="n">
        <x:v>0.0009990009990009</x:v>
      </x:c>
      <x:c r="I265" s="26" t="n">
        <x:v>0.0066433566433566</x:v>
      </x:c>
      <x:c r="J265" s="27" t="b">
        <x:v>1</x:v>
      </x:c>
      <x:c r="K265" s="27" t="b">
        <x:v>1</x:v>
      </x:c>
      <x:c r="L265" s="24" t="b">
        <x:f>AND(J265,K265)</x:f>
        <x:v>1</x:v>
      </x:c>
      <x:c r="M265" s="29" t="b">
        <x:v>1</x:v>
      </x:c>
      <x:c r="N265" s="30" t="n">
        <x:v>1</x:v>
      </x:c>
      <x:c r="O265" s="31" t="n">
        <x:v>-0.45</x:v>
      </x:c>
      <x:c r="P265" s="31" t="n">
        <x:v>46.808510638297804</x:v>
      </x:c>
      <x:c r="Q265" s="31" t="n">
        <x:v>0.4754981807229987</x:v>
      </x:c>
      <x:c r="R265" s="31" t="n">
        <x:v>1</x:v>
      </x:c>
      <x:c r="S265" s="33" t="n">
        <x:f>IF(OR(G265="",P265=""),"",G265-P265)</x:f>
        <x:v>51.16416527811836</x:v>
      </x:c>
      <x:c r="T265" s="33" t="n">
        <x:f>IF(S265="","",ABS(S265))</x:f>
        <x:v>51.16416527811836</x:v>
      </x:c>
      <x:c r="U265" s="34" t="str">
        <x:f>IF(M265=FALSE,"Not analysed in paper",IF(K265=N265,"Significance agrees",IF(K265=TRUE,"User only","Paper only")))</x:f>
        <x:v>Significance agrees</x:v>
      </x:c>
      <x:c r="V265" s="34" t="str">
        <x:f>IF(M265=FALSE,"Not analysed in paper",IF(L265=FALSE,"User not reliable/significant",IF(N265=FALSE,"Paper not significant",IF(P265="","Exact paper latency unavailable",IF(T265&lt;=10,"Close (&lt;=10 ms)",IF(T265&lt;=20,"Similar (10-20 ms)","Different (&gt;20 ms)"))))))</x:f>
        <x:v>Different (&gt;20 ms)</x:v>
      </x:c>
      <x:c r="W265" s="37" t="b">
        <x:v>0</x:v>
      </x:c>
      <x:c r="X265" s="38"/>
      <x:c r="Y265" s="38"/>
      <x:c r="Z265" s="39"/>
      <x:c r="AA265" s="39" t="str">
        <x:f>IF(W265=FALSE,"Not explicitly reported in PDF",IF(AND(G265&gt;=X265,G265&lt;=Y265),"Within PDF value/range",IF(MIN(ABS(G265-X265),ABS(G265-Y265))&lt;=15,"Within 15 ms of PDF","Different from PDF")))</x:f>
        <x:v>Not explicitly reported in PDF</x:v>
      </x:c>
    </x:row>
    <x:row r="266">
      <x:c r="A266" s="20" t="str">
        <x:v>VPL</x:v>
      </x:c>
      <x:c r="B266" s="20" t="str">
        <x:v>Ventral posterolateral nucleus of the thalamus</x:v>
      </x:c>
      <x:c r="C266" s="20" t="str">
        <x:v>Thalamus</x:v>
      </x:c>
      <x:c r="D266" s="24" t="n">
        <x:v>24</x:v>
      </x:c>
      <x:c r="E266" s="24" t="n">
        <x:v>436</x:v>
      </x:c>
      <x:c r="F266" s="25" t="n">
        <x:v>3.9819365247248633</x:v>
      </x:c>
      <x:c r="G266" s="25" t="n">
        <x:v>122.4418097234815</x:v>
      </x:c>
      <x:c r="H266" s="26" t="n">
        <x:v>0.0029970029970029</x:v>
      </x:c>
      <x:c r="I266" s="26" t="n">
        <x:v>0.0150415622113735</x:v>
      </x:c>
      <x:c r="J266" s="27" t="b">
        <x:v>1</x:v>
      </x:c>
      <x:c r="K266" s="27" t="b">
        <x:v>0</x:v>
      </x:c>
      <x:c r="L266" s="24" t="b">
        <x:f>AND(J266,K266)</x:f>
        <x:v>0</x:v>
      </x:c>
      <x:c r="M266" s="29" t="b">
        <x:v>1</x:v>
      </x:c>
      <x:c r="N266" s="30" t="n">
        <x:v>1</x:v>
      </x:c>
      <x:c r="O266" s="31" t="n">
        <x:v>-0.7</x:v>
      </x:c>
      <x:c r="P266" s="31" t="n">
        <x:v>65.9574468085106</x:v>
      </x:c>
      <x:c r="Q266" s="31" t="n">
        <x:v>0.2080403670156586</x:v>
      </x:c>
      <x:c r="R266" s="31" t="n">
        <x:v>1</x:v>
      </x:c>
      <x:c r="S266" s="33" t="n">
        <x:f>IF(OR(G266="",P266=""),"",G266-P266)</x:f>
        <x:v>56.4843629149709</x:v>
      </x:c>
      <x:c r="T266" s="33" t="n">
        <x:f>IF(S266="","",ABS(S266))</x:f>
        <x:v>56.4843629149709</x:v>
      </x:c>
      <x:c r="U266" s="34" t="str">
        <x:f>IF(M266=FALSE,"Not analysed in paper",IF(K266=N266,"Significance agrees",IF(K266=TRUE,"User only","Paper only")))</x:f>
        <x:v>Paper only</x:v>
      </x:c>
      <x:c r="V266" s="34" t="str">
        <x:f>IF(M266=FALSE,"Not analysed in paper",IF(L266=FALSE,"User not reliable/significant",IF(N266=FALSE,"Paper not significant",IF(P266="","Exact paper latency unavailable",IF(T266&lt;=10,"Close (&lt;=10 ms)",IF(T266&lt;=20,"Similar (10-20 ms)","Different (&gt;20 ms)"))))))</x:f>
        <x:v>User not reliable/significant</x:v>
      </x:c>
      <x:c r="W266" s="37" t="b">
        <x:v>0</x:v>
      </x:c>
      <x:c r="X266" s="38"/>
      <x:c r="Y266" s="38"/>
      <x:c r="Z266" s="39"/>
      <x:c r="AA266" s="39" t="str">
        <x:f>IF(W266=FALSE,"Not explicitly reported in PDF",IF(AND(G266&gt;=X266,G266&lt;=Y266),"Within PDF value/range",IF(MIN(ABS(G266-X266),ABS(G266-Y266))&lt;=15,"Within 15 ms of PDF","Different from PDF")))</x:f>
        <x:v>Not explicitly reported in PDF</x:v>
      </x:c>
    </x:row>
    <x:row r="267">
      <x:c r="A267" s="20" t="str">
        <x:v>VPLpc</x:v>
      </x:c>
      <x:c r="B267" s="20" t="str">
        <x:v>Ventral posterolateral nucleus of the thalamus parvicellular part</x:v>
      </x:c>
      <x:c r="C267" s="20" t="str">
        <x:v>Thalamus</x:v>
      </x:c>
      <x:c r="D267" s="24" t="n">
        <x:v>11</x:v>
      </x:c>
      <x:c r="E267" s="24" t="n">
        <x:v>80</x:v>
      </x:c>
      <x:c r="F267" s="25" t="n">
        <x:v>1.1744353695155123</x:v>
      </x:c>
      <x:c r="G267" s="25" t="n">
        <x:v>64.97172171614234</x:v>
      </x:c>
      <x:c r="H267" s="26" t="n">
        <x:v>0.6493506493506493</x:v>
      </x:c>
      <x:c r="I267" s="26" t="n">
        <x:v>0.7609130957148578</x:v>
      </x:c>
      <x:c r="J267" s="27" t="b">
        <x:v>1</x:v>
      </x:c>
      <x:c r="K267" s="27" t="b">
        <x:v>0</x:v>
      </x:c>
      <x:c r="L267" s="24" t="b">
        <x:f>AND(J267,K267)</x:f>
        <x:v>0</x:v>
      </x:c>
      <x:c r="M267" s="29" t="b">
        <x:v>1</x:v>
      </x:c>
      <x:c r="N267" s="30" t="n">
        <x:v>0</x:v>
      </x:c>
      <x:c r="O267" s="31" t="n">
        <x:v>-0.81</x:v>
      </x:c>
      <x:c r="P267" s="31" t="n">
        <x:v>70.2127659574468</x:v>
      </x:c>
      <x:c r="Q267" s="31" t="n">
        <x:v>0.2387066945271397</x:v>
      </x:c>
      <x:c r="R267" s="31" t="n">
        <x:v>0</x:v>
      </x:c>
      <x:c r="S267" s="33" t="n">
        <x:f>IF(OR(G267="",P267=""),"",G267-P267)</x:f>
        <x:v>-5.241044241304465</x:v>
      </x:c>
      <x:c r="T267" s="33" t="n">
        <x:f>IF(S267="","",ABS(S267))</x:f>
        <x:v>5.241044241304465</x:v>
      </x:c>
      <x:c r="U267" s="34" t="str">
        <x:f>IF(M267=FALSE,"Not analysed in paper",IF(K267=N267,"Significance agrees",IF(K267=TRUE,"User only","Paper only")))</x:f>
        <x:v>Significance agrees</x:v>
      </x:c>
      <x:c r="V267" s="34" t="str">
        <x:f>IF(M267=FALSE,"Not analysed in paper",IF(L267=FALSE,"User not reliable/significant",IF(N267=FALSE,"Paper not significant",IF(P267="","Exact paper latency unavailable",IF(T267&lt;=10,"Close (&lt;=10 ms)",IF(T267&lt;=20,"Similar (10-20 ms)","Different (&gt;20 ms)"))))))</x:f>
        <x:v>User not reliable/significant</x:v>
      </x:c>
      <x:c r="W267" s="37" t="b">
        <x:v>0</x:v>
      </x:c>
      <x:c r="X267" s="38"/>
      <x:c r="Y267" s="38"/>
      <x:c r="Z267" s="39"/>
      <x:c r="AA267" s="39" t="str">
        <x:f>IF(W267=FALSE,"Not explicitly reported in PDF",IF(AND(G267&gt;=X267,G267&lt;=Y267),"Within PDF value/range",IF(MIN(ABS(G267-X267),ABS(G267-Y267))&lt;=15,"Within 15 ms of PDF","Different from PDF")))</x:f>
        <x:v>Not explicitly reported in PDF</x:v>
      </x:c>
    </x:row>
    <x:row r="268">
      <x:c r="A268" s="20" t="str">
        <x:v>VPM</x:v>
      </x:c>
      <x:c r="B268" s="20" t="str">
        <x:v>Ventral posteromedial nucleus of the thalamus</x:v>
      </x:c>
      <x:c r="C268" s="20" t="str">
        <x:v>Thalamus</x:v>
      </x:c>
      <x:c r="D268" s="24" t="n">
        <x:v>39</x:v>
      </x:c>
      <x:c r="E268" s="24" t="n">
        <x:v>1310</x:v>
      </x:c>
      <x:c r="F268" s="25" t="n">
        <x:v>2.0198416025633295</x:v>
      </x:c>
      <x:c r="G268" s="25" t="n">
        <x:v>127.18991443932876</x:v>
      </x:c>
      <x:c r="H268" s="26" t="n">
        <x:v>0.0029970029970029</x:v>
      </x:c>
      <x:c r="I268" s="26" t="n">
        <x:v>0.0150415622113735</x:v>
      </x:c>
      <x:c r="J268" s="27" t="b">
        <x:v>1</x:v>
      </x:c>
      <x:c r="K268" s="27" t="b">
        <x:v>0</x:v>
      </x:c>
      <x:c r="L268" s="24" t="b">
        <x:f>AND(J268,K268)</x:f>
        <x:v>0</x:v>
      </x:c>
      <x:c r="M268" s="29" t="b">
        <x:v>1</x:v>
      </x:c>
      <x:c r="N268" s="30" t="n">
        <x:v>0</x:v>
      </x:c>
      <x:c r="O268" s="31" t="n">
        <x:v>-1.13</x:v>
      </x:c>
      <x:c r="P268" s="31" t="n">
        <x:v>76.595744680851</x:v>
      </x:c>
      <x:c r="Q268" s="31" t="n">
        <x:v>0.0790733600301591</x:v>
      </x:c>
      <x:c r="R268" s="31" t="n">
        <x:v>1</x:v>
      </x:c>
      <x:c r="S268" s="33" t="n">
        <x:f>IF(OR(G268="",P268=""),"",G268-P268)</x:f>
        <x:v>50.59416975847776</x:v>
      </x:c>
      <x:c r="T268" s="33" t="n">
        <x:f>IF(S268="","",ABS(S268))</x:f>
        <x:v>50.59416975847776</x:v>
      </x:c>
      <x:c r="U268" s="34" t="str">
        <x:f>IF(M268=FALSE,"Not analysed in paper",IF(K268=N268,"Significance agrees",IF(K268=TRUE,"User only","Paper only")))</x:f>
        <x:v>Significance agrees</x:v>
      </x:c>
      <x:c r="V268" s="34" t="str">
        <x:f>IF(M268=FALSE,"Not analysed in paper",IF(L268=FALSE,"User not reliable/significant",IF(N268=FALSE,"Paper not significant",IF(P268="","Exact paper latency unavailable",IF(T268&lt;=10,"Close (&lt;=10 ms)",IF(T268&lt;=20,"Similar (10-20 ms)","Different (&gt;20 ms)"))))))</x:f>
        <x:v>User not reliable/significant</x:v>
      </x:c>
      <x:c r="W268" s="37" t="b">
        <x:v>0</x:v>
      </x:c>
      <x:c r="X268" s="38"/>
      <x:c r="Y268" s="38"/>
      <x:c r="Z268" s="39"/>
      <x:c r="AA268" s="39" t="str">
        <x:f>IF(W268=FALSE,"Not explicitly reported in PDF",IF(AND(G268&gt;=X268,G268&lt;=Y268),"Within PDF value/range",IF(MIN(ABS(G268-X268),ABS(G268-Y268))&lt;=15,"Within 15 ms of PDF","Different from PDF")))</x:f>
        <x:v>Not explicitly reported in PDF</x:v>
      </x:c>
    </x:row>
    <x:row r="269">
      <x:c r="A269" s="20" t="str">
        <x:v>VPMpc</x:v>
      </x:c>
      <x:c r="B269" s="20" t="str">
        <x:v>Ventral posteromedial nucleus of the thalamus parvicellular part</x:v>
      </x:c>
      <x:c r="C269" s="20" t="str">
        <x:v>Thalamus</x:v>
      </x:c>
      <x:c r="D269" s="24" t="n">
        <x:v>10</x:v>
      </x:c>
      <x:c r="E269" s="24" t="n">
        <x:v>67</x:v>
      </x:c>
      <x:c r="F269" s="25" t="n">
        <x:v>2.7399622927683147</x:v>
      </x:c>
      <x:c r="G269" s="25" t="n">
        <x:v>124.43650055266514</x:v>
      </x:c>
      <x:c r="H269" s="26" t="n">
        <x:v>0.0029970029970029</x:v>
      </x:c>
      <x:c r="I269" s="26" t="n">
        <x:v>0.0150415622113735</x:v>
      </x:c>
      <x:c r="J269" s="27" t="b">
        <x:v>1</x:v>
      </x:c>
      <x:c r="K269" s="27" t="b">
        <x:v>0</x:v>
      </x:c>
      <x:c r="L269" s="24" t="b">
        <x:f>AND(J269,K269)</x:f>
        <x:v>0</x:v>
      </x:c>
      <x:c r="M269" s="29" t="b">
        <x:v>1</x:v>
      </x:c>
      <x:c r="N269" s="30" t="n">
        <x:v>0</x:v>
      </x:c>
      <x:c r="O269" s="31" t="n">
        <x:v>-0.92</x:v>
      </x:c>
      <x:c r="P269" s="31"/>
      <x:c r="Q269" s="31"/>
      <x:c r="R269" s="31"/>
      <x:c r="S269" s="33" t="str">
        <x:f>IF(OR(G269="",P269=""),"",G269-P269)</x:f>
      </x:c>
      <x:c r="T269" s="33" t="str">
        <x:f>IF(S269="","",ABS(S269))</x:f>
      </x:c>
      <x:c r="U269" s="34" t="str">
        <x:f>IF(M269=FALSE,"Not analysed in paper",IF(K269=N269,"Significance agrees",IF(K269=TRUE,"User only","Paper only")))</x:f>
        <x:v>Significance agrees</x:v>
      </x:c>
      <x:c r="V269" s="34" t="str">
        <x:f>IF(M269=FALSE,"Not analysed in paper",IF(L269=FALSE,"User not reliable/significant",IF(N269=FALSE,"Paper not significant",IF(P269="","Exact paper latency unavailable",IF(T269&lt;=10,"Close (&lt;=10 ms)",IF(T269&lt;=20,"Similar (10-20 ms)","Different (&gt;20 ms)"))))))</x:f>
        <x:v>User not reliable/significant</x:v>
      </x:c>
      <x:c r="W269" s="37" t="b">
        <x:v>0</x:v>
      </x:c>
      <x:c r="X269" s="38"/>
      <x:c r="Y269" s="38"/>
      <x:c r="Z269" s="39"/>
      <x:c r="AA269" s="39" t="str">
        <x:f>IF(W269=FALSE,"Not explicitly reported in PDF",IF(AND(G269&gt;=X269,G269&lt;=Y269),"Within PDF value/range",IF(MIN(ABS(G269-X269),ABS(G269-Y269))&lt;=15,"Within 15 ms of PDF","Different from PDF")))</x:f>
        <x:v>Not explicitly reported in PDF</x:v>
      </x:c>
    </x:row>
  </x:sheetData>
  <x:mergeCells>
    <x:mergeCell ref="A1:AA1"/>
  </x:mergeCells>
  <x:conditionalFormatting sqref="U4:U269">
    <x:cfRule type="containsText" dxfId="0" priority="1" operator="containsText" text="agrees"/>
    <x:cfRule type="containsText" dxfId="1" priority="2" operator="containsText" text="only"/>
  </x:conditionalFormatting>
  <x:conditionalFormatting sqref="V4:V269">
    <x:cfRule type="containsText" dxfId="2" priority="3" operator="containsText" text="Close"/>
    <x:cfRule type="containsText" dxfId="3" priority="4" operator="containsText" text="Different"/>
  </x:conditionalFormatting>
  <x:conditionalFormatting sqref="AA4:AA269">
    <x:cfRule type="beginsWith" dxfId="4" priority="5" operator="beginsWith" text="Within"/>
    <x:cfRule type="containsText" dxfId="5" priority="6" operator="containsText" text="Different"/>
  </x:conditionalFormatting>
  <x:pageMargins left="0.7" right="0.7" top="0.75" bottom="0.75" header="0.3" footer="0.3"/>
  <x:tableParts count="1">
    <x:tablePart xmlns:r="http://schemas.openxmlformats.org/officeDocument/2006/relationships" r:id="R92060fe4b4104d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7.78000020980835" hidden="0" customWidth="1"/>
    <x:col min="4" max="4" width="8.329999923706055" hidden="0" customWidth="1"/>
    <x:col min="5" max="5" width="13.109999656677246" hidden="0" customWidth="1"/>
    <x:col min="6" max="6" width="11.4399995803833" hidden="0" customWidth="1"/>
    <x:col min="7" max="7" width="10" hidden="0" customWidth="1"/>
    <x:col min="8" max="8" width="16.219999313354492" hidden="0" customWidth="1"/>
    <x:col min="9" max="9" width="10" hidden="0" customWidth="1"/>
    <x:col min="10" max="10" width="10.779999732971191" hidden="0" customWidth="1"/>
  </x:cols>
  <x:sheetData>
    <x:row r="1" ht="30" customHeight="1">
      <x:c r="A1" s="3" t="str">
        <x:v>Raw user Q3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4" customHeight="1">
      <x:c r="A3" s="14" t="str">
        <x:v>acronym</x:v>
      </x:c>
      <x:c r="B3" s="15" t="str">
        <x:v>anatomical_group</x:v>
      </x:c>
      <x:c r="C3" s="15" t="str">
        <x:v>n_pids</x:v>
      </x:c>
      <x:c r="D3" s="15" t="str">
        <x:v>n_units</x:v>
      </x:c>
      <x:c r="E3" s="15" t="str">
        <x:v>amplitude_hz</x:v>
      </x:c>
      <x:c r="F3" s="15" t="str">
        <x:v>latency_ms</x:v>
      </x:c>
      <x:c r="G3" s="15" t="str">
        <x:v>p_value</x:v>
      </x:c>
      <x:c r="H3" s="15" t="str">
        <x:v>passes_coverage</x:v>
      </x:c>
      <x:c r="I3" s="15" t="str">
        <x:v>q_value</x:v>
      </x:c>
      <x:c r="J3" s="16" t="str">
        <x:v>significant</x:v>
      </x:c>
    </x:row>
    <x:row r="4">
      <x:c r="A4" t="str">
        <x:v>ANcr1</x:v>
      </x:c>
      <x:c r="B4" t="str">
        <x:v>Cerebellum</x:v>
      </x:c>
      <x:c r="C4" t="n">
        <x:v>10</x:v>
      </x:c>
      <x:c r="D4" t="n">
        <x:v>421</x:v>
      </x:c>
      <x:c r="E4" s="40" t="n">
        <x:v>4.604554504324652</x:v>
      </x:c>
      <x:c r="F4" s="40" t="n">
        <x:v>90.88824072984208</x:v>
      </x:c>
      <x:c r="G4" s="87" t="n">
        <x:v>0.0029970029970029</x:v>
      </x:c>
      <x:c r="H4" s="88" t="b">
        <x:v>1</x:v>
      </x:c>
      <x:c r="I4" s="87" t="n">
        <x:v>0.0150415622113735</x:v>
      </x:c>
      <x:c r="J4" s="17" t="b">
        <x:v>0</x:v>
      </x:c>
    </x:row>
    <x:row r="5">
      <x:c r="A5" t="str">
        <x:v>ANcr2</x:v>
      </x:c>
      <x:c r="B5" t="str">
        <x:v>Cerebellum</x:v>
      </x:c>
      <x:c r="C5" t="n">
        <x:v>17</x:v>
      </x:c>
      <x:c r="D5" t="n">
        <x:v>519</x:v>
      </x:c>
      <x:c r="E5" s="40" t="n">
        <x:v>4.196604341538385</x:v>
      </x:c>
      <x:c r="F5" s="40" t="n">
        <x:v>121.422389400773</x:v>
      </x:c>
      <x:c r="G5" s="87" t="n">
        <x:v>0.0279720279720279</x:v>
      </x:c>
      <x:c r="H5" s="88" t="b">
        <x:v>1</x:v>
      </x:c>
      <x:c r="I5" s="87" t="n">
        <x:v>0.0759240759240759</x:v>
      </x:c>
      <x:c r="J5" s="17" t="b">
        <x:v>0</x:v>
      </x:c>
    </x:row>
    <x:row r="6">
      <x:c r="A6" t="str">
        <x:v>CENT2</x:v>
      </x:c>
      <x:c r="B6" t="str">
        <x:v>Cerebellum</x:v>
      </x:c>
      <x:c r="C6" t="n">
        <x:v>16</x:v>
      </x:c>
      <x:c r="D6" t="n">
        <x:v>613</x:v>
      </x:c>
      <x:c r="E6" s="40" t="n">
        <x:v>5.156684276561507</x:v>
      </x:c>
      <x:c r="F6" s="40" t="n">
        <x:v>133.55636429081142</x:v>
      </x:c>
      <x:c r="G6" s="87" t="n">
        <x:v>0.2697302697302697</x:v>
      </x:c>
      <x:c r="H6" s="88" t="b">
        <x:v>1</x:v>
      </x:c>
      <x:c r="I6" s="87" t="n">
        <x:v>0.4245458683328506</x:v>
      </x:c>
      <x:c r="J6" s="17" t="b">
        <x:v>0</x:v>
      </x:c>
    </x:row>
    <x:row r="7">
      <x:c r="A7" t="str">
        <x:v>CENT3</x:v>
      </x:c>
      <x:c r="B7" t="str">
        <x:v>Cerebellum</x:v>
      </x:c>
      <x:c r="C7" t="n">
        <x:v>28</x:v>
      </x:c>
      <x:c r="D7" t="n">
        <x:v>663</x:v>
      </x:c>
      <x:c r="E7" s="40" t="n">
        <x:v>8.835406177666663</x:v>
      </x:c>
      <x:c r="F7" s="40" t="n">
        <x:v>129.84364433711346</x:v>
      </x:c>
      <x:c r="G7" s="87" t="n">
        <x:v>0.0009990009990009</x:v>
      </x:c>
      <x:c r="H7" s="88" t="b">
        <x:v>1</x:v>
      </x:c>
      <x:c r="I7" s="87" t="n">
        <x:v>0.0066433566433566</x:v>
      </x:c>
      <x:c r="J7" s="17" t="b">
        <x:v>1</x:v>
      </x:c>
    </x:row>
    <x:row r="8">
      <x:c r="A8" t="str">
        <x:v>COPY</x:v>
      </x:c>
      <x:c r="B8" t="str">
        <x:v>Cerebellum</x:v>
      </x:c>
      <x:c r="C8" t="n">
        <x:v>15</x:v>
      </x:c>
      <x:c r="D8" t="n">
        <x:v>284</x:v>
      </x:c>
      <x:c r="E8" s="40" t="n">
        <x:v>2.967841296258954</x:v>
      </x:c>
      <x:c r="F8" s="40" t="n">
        <x:v>113.50251874693905</x:v>
      </x:c>
      <x:c r="G8" s="87" t="n">
        <x:v>0.6533466533466533</x:v>
      </x:c>
      <x:c r="H8" s="88" t="b">
        <x:v>1</x:v>
      </x:c>
      <x:c r="I8" s="87" t="n">
        <x:v>0.7622377622377622</x:v>
      </x:c>
      <x:c r="J8" s="17" t="b">
        <x:v>0</x:v>
      </x:c>
    </x:row>
    <x:row r="9">
      <x:c r="A9" t="str">
        <x:v>CUL4 5</x:v>
      </x:c>
      <x:c r="B9" t="str">
        <x:v>Cerebellum</x:v>
      </x:c>
      <x:c r="C9" t="n">
        <x:v>34</x:v>
      </x:c>
      <x:c r="D9" t="n">
        <x:v>1207</x:v>
      </x:c>
      <x:c r="E9" s="40" t="n">
        <x:v>4.271333053135401</x:v>
      </x:c>
      <x:c r="F9" s="40" t="n">
        <x:v>123.70374204510397</x:v>
      </x:c>
      <x:c r="G9" s="87" t="n">
        <x:v>0.0359640359640359</x:v>
      </x:c>
      <x:c r="H9" s="88" t="b">
        <x:v>1</x:v>
      </x:c>
      <x:c r="I9" s="87" t="n">
        <x:v>0.0911088911088911</x:v>
      </x:c>
      <x:c r="J9" s="17" t="b">
        <x:v>0</x:v>
      </x:c>
    </x:row>
    <x:row r="10">
      <x:c r="A10" t="str">
        <x:v>DEC</x:v>
      </x:c>
      <x:c r="B10" t="str">
        <x:v>Cerebellum</x:v>
      </x:c>
      <x:c r="C10" t="n">
        <x:v>7</x:v>
      </x:c>
      <x:c r="D10" t="n">
        <x:v>190</x:v>
      </x:c>
      <x:c r="E10" s="40" t="n">
        <x:v>1.251408032160942</x:v>
      </x:c>
      <x:c r="F10" s="40" t="n">
        <x:v>93.9480463387003</x:v>
      </x:c>
      <x:c r="G10" s="87" t="n">
        <x:v>0.5704295704295704</x:v>
      </x:c>
      <x:c r="H10" s="88" t="b">
        <x:v>1</x:v>
      </x:c>
      <x:c r="I10" s="87" t="n">
        <x:v>0.6940639269406392</x:v>
      </x:c>
      <x:c r="J10" s="17" t="b">
        <x:v>0</x:v>
      </x:c>
    </x:row>
    <x:row r="11">
      <x:c r="A11" t="str">
        <x:v>DN</x:v>
      </x:c>
      <x:c r="B11" t="str">
        <x:v>Cerebellum</x:v>
      </x:c>
      <x:c r="C11" t="n">
        <x:v>9</x:v>
      </x:c>
      <x:c r="D11" t="n">
        <x:v>197</x:v>
      </x:c>
      <x:c r="E11" s="40" t="n">
        <x:v>9.993472702753984</x:v>
      </x:c>
      <x:c r="F11" s="40" t="n">
        <x:v>119.9205810660884</x:v>
      </x:c>
      <x:c r="G11" s="87" t="n">
        <x:v>0.0009990009990009</x:v>
      </x:c>
      <x:c r="H11" s="88" t="b">
        <x:v>1</x:v>
      </x:c>
      <x:c r="I11" s="87" t="n">
        <x:v>0.0066433566433566</x:v>
      </x:c>
      <x:c r="J11" s="17" t="b">
        <x:v>1</x:v>
      </x:c>
    </x:row>
    <x:row r="12">
      <x:c r="A12" t="str">
        <x:v>FL</x:v>
      </x:c>
      <x:c r="B12" t="str">
        <x:v>Cerebellum</x:v>
      </x:c>
      <x:c r="C12" t="n">
        <x:v>4</x:v>
      </x:c>
      <x:c r="D12" t="n">
        <x:v>39</x:v>
      </x:c>
      <x:c r="E12" s="40" t="n">
        <x:v>2.535273204312241</x:v>
      </x:c>
      <x:c r="F12" s="40" t="n">
        <x:v>14.158815553321803</x:v>
      </x:c>
      <x:c r="G12" s="87" t="n">
        <x:v>0.974025974025974</x:v>
      </x:c>
      <x:c r="H12" s="88" t="b">
        <x:v>1</x:v>
      </x:c>
      <x:c r="I12" s="87" t="n">
        <x:v>0.9814049586776858</x:v>
      </x:c>
      <x:c r="J12" s="17" t="b">
        <x:v>0</x:v>
      </x:c>
    </x:row>
    <x:row r="13">
      <x:c r="A13" t="str">
        <x:v>FN</x:v>
      </x:c>
      <x:c r="B13" t="str">
        <x:v>Cerebellum</x:v>
      </x:c>
      <x:c r="C13" t="n">
        <x:v>5</x:v>
      </x:c>
      <x:c r="D13" t="n">
        <x:v>46</x:v>
      </x:c>
      <x:c r="E13" s="40" t="n">
        <x:v>17.01632753844283</x:v>
      </x:c>
      <x:c r="F13" s="40" t="n">
        <x:v>114.5418007570904</x:v>
      </x:c>
      <x:c r="G13" s="87" t="n">
        <x:v>0.0009990009990009</x:v>
      </x:c>
      <x:c r="H13" s="88" t="b">
        <x:v>1</x:v>
      </x:c>
      <x:c r="I13" s="87" t="n">
        <x:v>0.0066433566433566</x:v>
      </x:c>
      <x:c r="J13" s="17" t="b">
        <x:v>1</x:v>
      </x:c>
    </x:row>
    <x:row r="14">
      <x:c r="A14" t="str">
        <x:v>FOTU</x:v>
      </x:c>
      <x:c r="B14" t="str">
        <x:v>Cerebellum</x:v>
      </x:c>
      <x:c r="C14" t="n">
        <x:v>6</x:v>
      </x:c>
      <x:c r="D14" t="n">
        <x:v>100</x:v>
      </x:c>
      <x:c r="E14" s="40" t="n">
        <x:v>4.067963994972289</x:v>
      </x:c>
      <x:c r="F14" s="40" t="n">
        <x:v>121.0586029296375</x:v>
      </x:c>
      <x:c r="G14" s="87" t="n">
        <x:v>0.0559440559440559</x:v>
      </x:c>
      <x:c r="H14" s="88" t="b">
        <x:v>1</x:v>
      </x:c>
      <x:c r="I14" s="87" t="n">
        <x:v>0.1261111769586345</x:v>
      </x:c>
      <x:c r="J14" s="17" t="b">
        <x:v>0</x:v>
      </x:c>
    </x:row>
    <x:row r="15">
      <x:c r="A15" t="str">
        <x:v>IP</x:v>
      </x:c>
      <x:c r="B15" t="str">
        <x:v>Cerebellum</x:v>
      </x:c>
      <x:c r="C15" t="n">
        <x:v>30</x:v>
      </x:c>
      <x:c r="D15" t="n">
        <x:v>619</x:v>
      </x:c>
      <x:c r="E15" s="40" t="n">
        <x:v>7.612094543958559</x:v>
      </x:c>
      <x:c r="F15" s="40" t="n">
        <x:v>114.7724267602744</x:v>
      </x:c>
      <x:c r="G15" s="87" t="n">
        <x:v>0.0329670329670329</x:v>
      </x:c>
      <x:c r="H15" s="88" t="b">
        <x:v>1</x:v>
      </x:c>
      <x:c r="I15" s="87" t="n">
        <x:v>0.085972850678733</x:v>
      </x:c>
      <x:c r="J15" s="17" t="b">
        <x:v>0</x:v>
      </x:c>
    </x:row>
    <x:row r="16">
      <x:c r="A16" t="str">
        <x:v>LING</x:v>
      </x:c>
      <x:c r="B16" t="str">
        <x:v>Cerebellum</x:v>
      </x:c>
      <x:c r="C16" t="n">
        <x:v>5</x:v>
      </x:c>
      <x:c r="D16" t="n">
        <x:v>45</x:v>
      </x:c>
      <x:c r="E16" s="40" t="n">
        <x:v>5.2623328738222686</x:v>
      </x:c>
      <x:c r="F16" s="40" t="n">
        <x:v>119.16473686278172</x:v>
      </x:c>
      <x:c r="G16" s="87" t="n">
        <x:v>0.0499500499500499</x:v>
      </x:c>
      <x:c r="H16" s="88" t="b">
        <x:v>1</x:v>
      </x:c>
      <x:c r="I16" s="87" t="n">
        <x:v>0.1155366372757677</x:v>
      </x:c>
      <x:c r="J16" s="17" t="b">
        <x:v>0</x:v>
      </x:c>
    </x:row>
    <x:row r="17">
      <x:c r="A17" t="str">
        <x:v>NOD</x:v>
      </x:c>
      <x:c r="B17" t="str">
        <x:v>Cerebellum</x:v>
      </x:c>
      <x:c r="C17" t="n">
        <x:v>9</x:v>
      </x:c>
      <x:c r="D17" t="n">
        <x:v>165</x:v>
      </x:c>
      <x:c r="E17" s="40" t="n">
        <x:v>6.810615289631965</x:v>
      </x:c>
      <x:c r="F17" s="40" t="n">
        <x:v>109.62419148691392</x:v>
      </x:c>
      <x:c r="G17" s="87" t="n">
        <x:v>0.0019980019980019</x:v>
      </x:c>
      <x:c r="H17" s="88" t="b">
        <x:v>1</x:v>
      </x:c>
      <x:c r="I17" s="87" t="n">
        <x:v>0.0120788302606484</x:v>
      </x:c>
      <x:c r="J17" s="17" t="b">
        <x:v>0</x:v>
      </x:c>
    </x:row>
    <x:row r="18">
      <x:c r="A18" t="str">
        <x:v>PFL</x:v>
      </x:c>
      <x:c r="B18" t="str">
        <x:v>Cerebellum</x:v>
      </x:c>
      <x:c r="C18" t="n">
        <x:v>6</x:v>
      </x:c>
      <x:c r="D18" t="n">
        <x:v>133</x:v>
      </x:c>
      <x:c r="E18" s="40" t="n">
        <x:v>3.0463038287375706</x:v>
      </x:c>
      <x:c r="F18" s="40" t="n">
        <x:v>113.45298574911344</x:v>
      </x:c>
      <x:c r="G18" s="87" t="n">
        <x:v>0.5314685314685315</x:v>
      </x:c>
      <x:c r="H18" s="88" t="b">
        <x:v>1</x:v>
      </x:c>
      <x:c r="I18" s="87" t="n">
        <x:v>0.6725217910052034</x:v>
      </x:c>
      <x:c r="J18" s="17" t="b">
        <x:v>0</x:v>
      </x:c>
    </x:row>
    <x:row r="19">
      <x:c r="A19" t="str">
        <x:v>PRM</x:v>
      </x:c>
      <x:c r="B19" t="str">
        <x:v>Cerebellum</x:v>
      </x:c>
      <x:c r="C19" t="n">
        <x:v>18</x:v>
      </x:c>
      <x:c r="D19" t="n">
        <x:v>382</x:v>
      </x:c>
      <x:c r="E19" s="40" t="n">
        <x:v>8.44012896638214</x:v>
      </x:c>
      <x:c r="F19" s="40" t="n">
        <x:v>110.69516081967468</x:v>
      </x:c>
      <x:c r="G19" s="87" t="n">
        <x:v>0.0319680319680319</x:v>
      </x:c>
      <x:c r="H19" s="88" t="b">
        <x:v>1</x:v>
      </x:c>
      <x:c r="I19" s="87" t="n">
        <x:v>0.085034965034965</x:v>
      </x:c>
      <x:c r="J19" s="17" t="b">
        <x:v>0</x:v>
      </x:c>
    </x:row>
    <x:row r="20">
      <x:c r="A20" t="str">
        <x:v>PYR</x:v>
      </x:c>
      <x:c r="B20" t="str">
        <x:v>Cerebellum</x:v>
      </x:c>
      <x:c r="C20" t="n">
        <x:v>7</x:v>
      </x:c>
      <x:c r="D20" t="n">
        <x:v>207</x:v>
      </x:c>
      <x:c r="E20" s="40" t="n">
        <x:v>3.126761037669586</x:v>
      </x:c>
      <x:c r="F20" s="40" t="n">
        <x:v>127.05983706592076</x:v>
      </x:c>
      <x:c r="G20" s="87" t="n">
        <x:v>0.0209790209790209</x:v>
      </x:c>
      <x:c r="H20" s="88" t="b">
        <x:v>1</x:v>
      </x:c>
      <x:c r="I20" s="87" t="n">
        <x:v>0.06270134360022</x:v>
      </x:c>
      <x:c r="J20" s="17" t="b">
        <x:v>0</x:v>
      </x:c>
    </x:row>
    <x:row r="21">
      <x:c r="A21" t="str">
        <x:v>SIM</x:v>
      </x:c>
      <x:c r="B21" t="str">
        <x:v>Cerebellum</x:v>
      </x:c>
      <x:c r="C21" t="n">
        <x:v>21</x:v>
      </x:c>
      <x:c r="D21" t="n">
        <x:v>893</x:v>
      </x:c>
      <x:c r="E21" s="40" t="n">
        <x:v>4.902395129838486</x:v>
      </x:c>
      <x:c r="F21" s="40" t="n">
        <x:v>118.60456594959854</x:v>
      </x:c>
      <x:c r="G21" s="87" t="n">
        <x:v>0.0099900099900099</x:v>
      </x:c>
      <x:c r="H21" s="88" t="b">
        <x:v>1</x:v>
      </x:c>
      <x:c r="I21" s="87" t="n">
        <x:v>0.0385122124252559</x:v>
      </x:c>
      <x:c r="J21" s="17" t="b">
        <x:v>0</x:v>
      </x:c>
    </x:row>
    <x:row r="22">
      <x:c r="A22" t="str">
        <x:v>UVU</x:v>
      </x:c>
      <x:c r="B22" t="str">
        <x:v>Cerebellum</x:v>
      </x:c>
      <x:c r="C22" t="n">
        <x:v>9</x:v>
      </x:c>
      <x:c r="D22" t="n">
        <x:v>245</x:v>
      </x:c>
      <x:c r="E22" s="40" t="n">
        <x:v>3.251721170799198</x:v>
      </x:c>
      <x:c r="F22" s="40" t="n">
        <x:v>118.7810816241293</x:v>
      </x:c>
      <x:c r="G22" s="87" t="n">
        <x:v>0.0329670329670329</x:v>
      </x:c>
      <x:c r="H22" s="88" t="b">
        <x:v>1</x:v>
      </x:c>
      <x:c r="I22" s="87" t="n">
        <x:v>0.085972850678733</x:v>
      </x:c>
      <x:c r="J22" s="17" t="b">
        <x:v>0</x:v>
      </x:c>
    </x:row>
    <x:row r="23">
      <x:c r="A23" t="str">
        <x:v>VeCB</x:v>
      </x:c>
      <x:c r="B23" t="str">
        <x:v>Cerebellum</x:v>
      </x:c>
      <x:c r="C23" t="n">
        <x:v>6</x:v>
      </x:c>
      <x:c r="D23" t="n">
        <x:v>70</x:v>
      </x:c>
      <x:c r="E23" s="40" t="n">
        <x:v>16.77708566534102</x:v>
      </x:c>
      <x:c r="F23" s="40" t="n">
        <x:v>116.72638959672584</x:v>
      </x:c>
      <x:c r="G23" s="87" t="n">
        <x:v>0.0009990009990009</x:v>
      </x:c>
      <x:c r="H23" s="88" t="b">
        <x:v>1</x:v>
      </x:c>
      <x:c r="I23" s="87" t="n">
        <x:v>0.0066433566433566</x:v>
      </x:c>
      <x:c r="J23" s="17" t="b">
        <x:v>1</x:v>
      </x:c>
    </x:row>
    <x:row r="24">
      <x:c r="A24" t="str">
        <x:v>AAA</x:v>
      </x:c>
      <x:c r="B24" t="str">
        <x:v>Cerebral nuclei</x:v>
      </x:c>
      <x:c r="C24" t="n">
        <x:v>3</x:v>
      </x:c>
      <x:c r="D24" t="n">
        <x:v>25</x:v>
      </x:c>
      <x:c r="E24" s="40" t="n">
        <x:v>6.629229854858867</x:v>
      </x:c>
      <x:c r="F24" s="40" t="n">
        <x:v>134.62443962625238</x:v>
      </x:c>
      <x:c r="G24" s="87" t="n">
        <x:v>0.0009990009990009</x:v>
      </x:c>
      <x:c r="H24" s="88" t="b">
        <x:v>1</x:v>
      </x:c>
      <x:c r="I24" s="87" t="n">
        <x:v>0.0066433566433566</x:v>
      </x:c>
      <x:c r="J24" s="17" t="b">
        <x:v>1</x:v>
      </x:c>
    </x:row>
    <x:row r="25">
      <x:c r="A25" t="str">
        <x:v>ACB</x:v>
      </x:c>
      <x:c r="B25" t="str">
        <x:v>Cerebral nuclei</x:v>
      </x:c>
      <x:c r="C25" t="n">
        <x:v>23</x:v>
      </x:c>
      <x:c r="D25" t="n">
        <x:v>340</x:v>
      </x:c>
      <x:c r="E25" s="40" t="n">
        <x:v>1.4027840044318052</x:v>
      </x:c>
      <x:c r="F25" s="40" t="n">
        <x:v>127.48596062993938</x:v>
      </x:c>
      <x:c r="G25" s="87" t="n">
        <x:v>0.4215784215784215</x:v>
      </x:c>
      <x:c r="H25" s="88" t="b">
        <x:v>1</x:v>
      </x:c>
      <x:c r="I25" s="87" t="n">
        <x:v>0.5663629299992936</x:v>
      </x:c>
      <x:c r="J25" s="17" t="b">
        <x:v>0</x:v>
      </x:c>
    </x:row>
    <x:row r="26">
      <x:c r="A26" t="str">
        <x:v>BST</x:v>
      </x:c>
      <x:c r="B26" t="str">
        <x:v>Cerebral nuclei</x:v>
      </x:c>
      <x:c r="C26" t="n">
        <x:v>15</x:v>
      </x:c>
      <x:c r="D26" t="n">
        <x:v>207</x:v>
      </x:c>
      <x:c r="E26" s="40" t="n">
        <x:v>2.240856909101614</x:v>
      </x:c>
      <x:c r="F26" s="40" t="n">
        <x:v>130.50175969989257</x:v>
      </x:c>
      <x:c r="G26" s="87" t="n">
        <x:v>0.0349650349650349</x:v>
      </x:c>
      <x:c r="H26" s="88" t="b">
        <x:v>1</x:v>
      </x:c>
      <x:c r="I26" s="87" t="n">
        <x:v>0.0894298009682625</x:v>
      </x:c>
      <x:c r="J26" s="17" t="b">
        <x:v>0</x:v>
      </x:c>
    </x:row>
    <x:row r="27">
      <x:c r="A27" t="str">
        <x:v>CEA</x:v>
      </x:c>
      <x:c r="B27" t="str">
        <x:v>Cerebral nuclei</x:v>
      </x:c>
      <x:c r="C27" t="n">
        <x:v>13</x:v>
      </x:c>
      <x:c r="D27" t="n">
        <x:v>159</x:v>
      </x:c>
      <x:c r="E27" s="40" t="n">
        <x:v>4.023126267313485</x:v>
      </x:c>
      <x:c r="F27" s="40" t="n">
        <x:v>108.14968332510736</x:v>
      </x:c>
      <x:c r="G27" s="87" t="n">
        <x:v>0.0029970029970029</x:v>
      </x:c>
      <x:c r="H27" s="88" t="b">
        <x:v>1</x:v>
      </x:c>
      <x:c r="I27" s="87" t="n">
        <x:v>0.0150415622113735</x:v>
      </x:c>
      <x:c r="J27" s="17" t="b">
        <x:v>0</x:v>
      </x:c>
    </x:row>
    <x:row r="28">
      <x:c r="A28" t="str">
        <x:v>CP</x:v>
      </x:c>
      <x:c r="B28" t="str">
        <x:v>Cerebral nuclei</x:v>
      </x:c>
      <x:c r="C28" t="n">
        <x:v>76</x:v>
      </x:c>
      <x:c r="D28" t="n">
        <x:v>2892</x:v>
      </x:c>
      <x:c r="E28" s="40" t="n">
        <x:v>3.4420387848795384</x:v>
      </x:c>
      <x:c r="F28" s="40" t="n">
        <x:v>117.9345620623452</x:v>
      </x:c>
      <x:c r="G28" s="87" t="n">
        <x:v>0.0009990009990009</x:v>
      </x:c>
      <x:c r="H28" s="88" t="b">
        <x:v>1</x:v>
      </x:c>
      <x:c r="I28" s="87" t="n">
        <x:v>0.0066433566433566</x:v>
      </x:c>
      <x:c r="J28" s="17" t="b">
        <x:v>1</x:v>
      </x:c>
    </x:row>
    <x:row r="29">
      <x:c r="A29" t="str">
        <x:v>FS</x:v>
      </x:c>
      <x:c r="B29" t="str">
        <x:v>Cerebral nuclei</x:v>
      </x:c>
      <x:c r="C29" t="n">
        <x:v>4</x:v>
      </x:c>
      <x:c r="D29" t="n">
        <x:v>32</x:v>
      </x:c>
      <x:c r="E29" s="40" t="n">
        <x:v>2.6880697784614127</x:v>
      </x:c>
      <x:c r="F29" s="40" t="n">
        <x:v>123.93410106835724</x:v>
      </x:c>
      <x:c r="G29" s="87" t="n">
        <x:v>0.5454545454545454</x:v>
      </x:c>
      <x:c r="H29" s="88" t="b">
        <x:v>1</x:v>
      </x:c>
      <x:c r="I29" s="87" t="n">
        <x:v>0.6824255556649923</x:v>
      </x:c>
      <x:c r="J29" s="17" t="b">
        <x:v>0</x:v>
      </x:c>
    </x:row>
    <x:row r="30">
      <x:c r="A30" t="str">
        <x:v>GPe</x:v>
      </x:c>
      <x:c r="B30" t="str">
        <x:v>Cerebral nuclei</x:v>
      </x:c>
      <x:c r="C30" t="n">
        <x:v>13</x:v>
      </x:c>
      <x:c r="D30" t="n">
        <x:v>322</x:v>
      </x:c>
      <x:c r="E30" s="40" t="n">
        <x:v>6.542902523352985</x:v>
      </x:c>
      <x:c r="F30" s="40" t="n">
        <x:v>123.41141835087608</x:v>
      </x:c>
      <x:c r="G30" s="87" t="n">
        <x:v>0.0009990009990009</x:v>
      </x:c>
      <x:c r="H30" s="88" t="b">
        <x:v>1</x:v>
      </x:c>
      <x:c r="I30" s="87" t="n">
        <x:v>0.0066433566433566</x:v>
      </x:c>
      <x:c r="J30" s="17" t="b">
        <x:v>1</x:v>
      </x:c>
    </x:row>
    <x:row r="31">
      <x:c r="A31" t="str">
        <x:v>GPi</x:v>
      </x:c>
      <x:c r="B31" t="str">
        <x:v>Cerebral nuclei</x:v>
      </x:c>
      <x:c r="C31" t="n">
        <x:v>5</x:v>
      </x:c>
      <x:c r="D31" t="n">
        <x:v>45</x:v>
      </x:c>
      <x:c r="E31" s="40" t="n">
        <x:v>6.985503821516588</x:v>
      </x:c>
      <x:c r="F31" s="40" t="n">
        <x:v>121.9091383213763</x:v>
      </x:c>
      <x:c r="G31" s="87" t="n">
        <x:v>0.0159840159840159</x:v>
      </x:c>
      <x:c r="H31" s="88" t="b">
        <x:v>1</x:v>
      </x:c>
      <x:c r="I31" s="87" t="n">
        <x:v>0.0531468531468531</x:v>
      </x:c>
      <x:c r="J31" s="17" t="b">
        <x:v>0</x:v>
      </x:c>
    </x:row>
    <x:row r="32">
      <x:c r="A32" t="str">
        <x:v>IA</x:v>
      </x:c>
      <x:c r="B32" t="str">
        <x:v>Cerebral nuclei</x:v>
      </x:c>
      <x:c r="C32" t="n">
        <x:v>2</x:v>
      </x:c>
      <x:c r="D32" t="n">
        <x:v>18</x:v>
      </x:c>
      <x:c r="E32" s="40" t="n">
        <x:v>2.872069690213185</x:v>
      </x:c>
      <x:c r="F32" s="40" t="n">
        <x:v>79.90913654724804</x:v>
      </x:c>
      <x:c r="G32" s="87" t="n">
        <x:v>0.0209790209790209</x:v>
      </x:c>
      <x:c r="H32" s="88" t="b">
        <x:v>0</x:v>
      </x:c>
      <x:c r="I32" s="87" t="n">
        <x:v>0.06270134360022</x:v>
      </x:c>
      <x:c r="J32" s="17" t="b">
        <x:v>0</x:v>
      </x:c>
    </x:row>
    <x:row r="33">
      <x:c r="A33" t="str">
        <x:v>LSc</x:v>
      </x:c>
      <x:c r="B33" t="str">
        <x:v>Cerebral nuclei</x:v>
      </x:c>
      <x:c r="C33" t="n">
        <x:v>11</x:v>
      </x:c>
      <x:c r="D33" t="n">
        <x:v>111</x:v>
      </x:c>
      <x:c r="E33" s="40" t="n">
        <x:v>0.8641250400229021</x:v>
      </x:c>
      <x:c r="F33" s="40" t="n">
        <x:v>137.44008608929693</x:v>
      </x:c>
      <x:c r="G33" s="87" t="n">
        <x:v>0.3046953046953047</x:v>
      </x:c>
      <x:c r="H33" s="88" t="b">
        <x:v>1</x:v>
      </x:c>
      <x:c r="I33" s="87" t="n">
        <x:v>0.4579036782426613</x:v>
      </x:c>
      <x:c r="J33" s="17" t="b">
        <x:v>0</x:v>
      </x:c>
    </x:row>
    <x:row r="34">
      <x:c r="A34" t="str">
        <x:v>LSr</x:v>
      </x:c>
      <x:c r="B34" t="str">
        <x:v>Cerebral nuclei</x:v>
      </x:c>
      <x:c r="C34" t="n">
        <x:v>29</x:v>
      </x:c>
      <x:c r="D34" t="n">
        <x:v>1156</x:v>
      </x:c>
      <x:c r="E34" s="40" t="n">
        <x:v>0.79462221402152</x:v>
      </x:c>
      <x:c r="F34" s="40" t="n">
        <x:v>97.37473620467269</x:v>
      </x:c>
      <x:c r="G34" s="87" t="n">
        <x:v>0.0049950049950049</x:v>
      </x:c>
      <x:c r="H34" s="88" t="b">
        <x:v>1</x:v>
      </x:c>
      <x:c r="I34" s="87" t="n">
        <x:v>0.0229081263564022</x:v>
      </x:c>
      <x:c r="J34" s="17" t="b">
        <x:v>0</x:v>
      </x:c>
    </x:row>
    <x:row r="35">
      <x:c r="A35" t="str">
        <x:v>LSv</x:v>
      </x:c>
      <x:c r="B35" t="str">
        <x:v>Cerebral nuclei</x:v>
      </x:c>
      <x:c r="C35" t="n">
        <x:v>15</x:v>
      </x:c>
      <x:c r="D35" t="n">
        <x:v>164</x:v>
      </x:c>
      <x:c r="E35" s="40" t="n">
        <x:v>1.947987735903339</x:v>
      </x:c>
      <x:c r="F35" s="40" t="n">
        <x:v>10.72349357737572</x:v>
      </x:c>
      <x:c r="G35" s="87" t="n">
        <x:v>0.8851148851148851</x:v>
      </x:c>
      <x:c r="H35" s="88" t="b">
        <x:v>1</x:v>
      </x:c>
      <x:c r="I35" s="87" t="n">
        <x:v>0.9305950966030018</x:v>
      </x:c>
      <x:c r="J35" s="17" t="b">
        <x:v>0</x:v>
      </x:c>
    </x:row>
    <x:row r="36">
      <x:c r="A36" t="str">
        <x:v>MA</x:v>
      </x:c>
      <x:c r="B36" t="str">
        <x:v>Cerebral nuclei</x:v>
      </x:c>
      <x:c r="C36" t="n">
        <x:v>6</x:v>
      </x:c>
      <x:c r="D36" t="n">
        <x:v>48</x:v>
      </x:c>
      <x:c r="E36" s="40" t="n">
        <x:v>2.6813202251022767</x:v>
      </x:c>
      <x:c r="F36" s="40" t="n">
        <x:v>21.448826354166084</x:v>
      </x:c>
      <x:c r="G36" s="87" t="n">
        <x:v>0.0389610389610389</x:v>
      </x:c>
      <x:c r="H36" s="88" t="b">
        <x:v>1</x:v>
      </x:c>
      <x:c r="I36" s="87" t="n">
        <x:v>0.0959595959595959</x:v>
      </x:c>
      <x:c r="J36" s="17" t="b">
        <x:v>0</x:v>
      </x:c>
    </x:row>
    <x:row r="37">
      <x:c r="A37" t="str">
        <x:v>MEA</x:v>
      </x:c>
      <x:c r="B37" t="str">
        <x:v>Cerebral nuclei</x:v>
      </x:c>
      <x:c r="C37" t="n">
        <x:v>12</x:v>
      </x:c>
      <x:c r="D37" t="n">
        <x:v>184</x:v>
      </x:c>
      <x:c r="E37" s="40" t="n">
        <x:v>1.1660029482168832</x:v>
      </x:c>
      <x:c r="F37" s="40" t="n">
        <x:v>54.23929362798195</x:v>
      </x:c>
      <x:c r="G37" s="87" t="n">
        <x:v>0.4185814185814185</x:v>
      </x:c>
      <x:c r="H37" s="88" t="b">
        <x:v>1</x:v>
      </x:c>
      <x:c r="I37" s="87" t="n">
        <x:v>0.5651911540236413</x:v>
      </x:c>
      <x:c r="J37" s="17" t="b">
        <x:v>0</x:v>
      </x:c>
    </x:row>
    <x:row r="38">
      <x:c r="A38" t="str">
        <x:v>MS</x:v>
      </x:c>
      <x:c r="B38" t="str">
        <x:v>Cerebral nuclei</x:v>
      </x:c>
      <x:c r="C38" t="n">
        <x:v>5</x:v>
      </x:c>
      <x:c r="D38" t="n">
        <x:v>106</x:v>
      </x:c>
      <x:c r="E38" s="40" t="n">
        <x:v>3.06168520820518</x:v>
      </x:c>
      <x:c r="F38" s="40" t="n">
        <x:v>36.45225538399609</x:v>
      </x:c>
      <x:c r="G38" s="87" t="n">
        <x:v>0.0029970029970029</x:v>
      </x:c>
      <x:c r="H38" s="88" t="b">
        <x:v>1</x:v>
      </x:c>
      <x:c r="I38" s="87" t="n">
        <x:v>0.0150415622113735</x:v>
      </x:c>
      <x:c r="J38" s="17" t="b">
        <x:v>0</x:v>
      </x:c>
    </x:row>
    <x:row r="39">
      <x:c r="A39" t="str">
        <x:v>NDB</x:v>
      </x:c>
      <x:c r="B39" t="str">
        <x:v>Cerebral nuclei</x:v>
      </x:c>
      <x:c r="C39" t="n">
        <x:v>5</x:v>
      </x:c>
      <x:c r="D39" t="n">
        <x:v>50</x:v>
      </x:c>
      <x:c r="E39" s="40" t="n">
        <x:v>5.8321895418284235</x:v>
      </x:c>
      <x:c r="F39" s="40" t="n">
        <x:v>133.5451050550069</x:v>
      </x:c>
      <x:c r="G39" s="87" t="n">
        <x:v>0.0009990009990009</x:v>
      </x:c>
      <x:c r="H39" s="88" t="b">
        <x:v>1</x:v>
      </x:c>
      <x:c r="I39" s="87" t="n">
        <x:v>0.0066433566433566</x:v>
      </x:c>
      <x:c r="J39" s="17" t="b">
        <x:v>1</x:v>
      </x:c>
    </x:row>
    <x:row r="40">
      <x:c r="A40" t="str">
        <x:v>OT</x:v>
      </x:c>
      <x:c r="B40" t="str">
        <x:v>Cerebral nuclei</x:v>
      </x:c>
      <x:c r="C40" t="n">
        <x:v>12</x:v>
      </x:c>
      <x:c r="D40" t="n">
        <x:v>79</x:v>
      </x:c>
      <x:c r="E40" s="40" t="n">
        <x:v>1.4485133225727456</x:v>
      </x:c>
      <x:c r="F40" s="40" t="n">
        <x:v>31.94586540910686</x:v>
      </x:c>
      <x:c r="G40" s="87" t="n">
        <x:v>0.4135864135864135</x:v>
      </x:c>
      <x:c r="H40" s="88" t="b">
        <x:v>1</x:v>
      </x:c>
      <x:c r="I40" s="87" t="n">
        <x:v>0.5612958470101327</x:v>
      </x:c>
      <x:c r="J40" s="17" t="b">
        <x:v>0</x:v>
      </x:c>
    </x:row>
    <x:row r="41">
      <x:c r="A41" t="str">
        <x:v>SF</x:v>
      </x:c>
      <x:c r="B41" t="str">
        <x:v>Cerebral nuclei</x:v>
      </x:c>
      <x:c r="C41" t="n">
        <x:v>10</x:v>
      </x:c>
      <x:c r="D41" t="n">
        <x:v>115</x:v>
      </x:c>
      <x:c r="E41" s="40" t="n">
        <x:v>1.1702612760299789</x:v>
      </x:c>
      <x:c r="F41" s="40" t="n">
        <x:v>124.5159534950192</x:v>
      </x:c>
      <x:c r="G41" s="87" t="n">
        <x:v>0.3276723276723277</x:v>
      </x:c>
      <x:c r="H41" s="88" t="b">
        <x:v>1</x:v>
      </x:c>
      <x:c r="I41" s="87" t="n">
        <x:v>0.4842268842268842</x:v>
      </x:c>
      <x:c r="J41" s="17" t="b">
        <x:v>0</x:v>
      </x:c>
    </x:row>
    <x:row r="42">
      <x:c r="A42" t="str">
        <x:v>SH</x:v>
      </x:c>
      <x:c r="B42" t="str">
        <x:v>Cerebral nuclei</x:v>
      </x:c>
      <x:c r="C42" t="n">
        <x:v>2</x:v>
      </x:c>
      <x:c r="D42" t="n">
        <x:v>4</x:v>
      </x:c>
      <x:c r="E42" s="40" t="n">
        <x:v>2.236330701951636</x:v>
      </x:c>
      <x:c r="F42" s="40" t="n">
        <x:v>69.68246797709408</x:v>
      </x:c>
      <x:c r="G42" s="87" t="n">
        <x:v>0.1718281718281718</x:v>
      </x:c>
      <x:c r="H42" s="88" t="b">
        <x:v>0</x:v>
      </x:c>
      <x:c r="I42" s="87" t="n">
        <x:v>0.3088263088263088</x:v>
      </x:c>
      <x:c r="J42" s="17" t="b">
        <x:v>0</x:v>
      </x:c>
    </x:row>
    <x:row r="43">
      <x:c r="A43" t="str">
        <x:v>SI</x:v>
      </x:c>
      <x:c r="B43" t="str">
        <x:v>Cerebral nuclei</x:v>
      </x:c>
      <x:c r="C43" t="n">
        <x:v>27</x:v>
      </x:c>
      <x:c r="D43" t="n">
        <x:v>256</x:v>
      </x:c>
      <x:c r="E43" s="40" t="n">
        <x:v>1.5103187571524497</x:v>
      </x:c>
      <x:c r="F43" s="40" t="n">
        <x:v>44.71187918708273</x:v>
      </x:c>
      <x:c r="G43" s="87" t="n">
        <x:v>0.0009990009990009</x:v>
      </x:c>
      <x:c r="H43" s="88" t="b">
        <x:v>1</x:v>
      </x:c>
      <x:c r="I43" s="87" t="n">
        <x:v>0.0066433566433566</x:v>
      </x:c>
      <x:c r="J43" s="17" t="b">
        <x:v>1</x:v>
      </x:c>
    </x:row>
    <x:row r="44">
      <x:c r="A44" t="str">
        <x:v>TRS</x:v>
      </x:c>
      <x:c r="B44" t="str">
        <x:v>Cerebral nuclei</x:v>
      </x:c>
      <x:c r="C44" t="n">
        <x:v>7</x:v>
      </x:c>
      <x:c r="D44" t="n">
        <x:v>73</x:v>
      </x:c>
      <x:c r="E44" s="40" t="n">
        <x:v>1.231173263743158</x:v>
      </x:c>
      <x:c r="F44" s="40" t="n">
        <x:v>140.03100558799764</x:v>
      </x:c>
      <x:c r="G44" s="87" t="n">
        <x:v>0.3776223776223776</x:v>
      </x:c>
      <x:c r="H44" s="88" t="b">
        <x:v>1</x:v>
      </x:c>
      <x:c r="I44" s="87" t="n">
        <x:v>0.525903415955772</x:v>
      </x:c>
      <x:c r="J44" s="17" t="b">
        <x:v>0</x:v>
      </x:c>
    </x:row>
    <x:row r="45">
      <x:c r="A45" t="str">
        <x:v>BLA</x:v>
      </x:c>
      <x:c r="B45" t="str">
        <x:v>Cortical subplate</x:v>
      </x:c>
      <x:c r="C45" t="n">
        <x:v>13</x:v>
      </x:c>
      <x:c r="D45" t="n">
        <x:v>150</x:v>
      </x:c>
      <x:c r="E45" s="40" t="n">
        <x:v>0.9972801400047628</x:v>
      </x:c>
      <x:c r="F45" s="40" t="n">
        <x:v>89.8249605356277</x:v>
      </x:c>
      <x:c r="G45" s="87" t="n">
        <x:v>0.5524475524475524</x:v>
      </x:c>
      <x:c r="H45" s="88" t="b">
        <x:v>1</x:v>
      </x:c>
      <x:c r="I45" s="87" t="n">
        <x:v>0.6834932509351113</x:v>
      </x:c>
      <x:c r="J45" s="17" t="b">
        <x:v>0</x:v>
      </x:c>
    </x:row>
    <x:row r="46">
      <x:c r="A46" t="str">
        <x:v>BMA</x:v>
      </x:c>
      <x:c r="B46" t="str">
        <x:v>Cortical subplate</x:v>
      </x:c>
      <x:c r="C46" t="n">
        <x:v>13</x:v>
      </x:c>
      <x:c r="D46" t="n">
        <x:v>175</x:v>
      </x:c>
      <x:c r="E46" s="40" t="n">
        <x:v>0.543356061255253</x:v>
      </x:c>
      <x:c r="F46" s="40" t="n">
        <x:v>11.999999999999996</x:v>
      </x:c>
      <x:c r="G46" s="87" t="n">
        <x:v>0.7842157842157842</x:v>
      </x:c>
      <x:c r="H46" s="88" t="b">
        <x:v>1</x:v>
      </x:c>
      <x:c r="I46" s="87" t="n">
        <x:v>0.8592800641980969</x:v>
      </x:c>
      <x:c r="J46" s="17" t="b">
        <x:v>0</x:v>
      </x:c>
    </x:row>
    <x:row r="47">
      <x:c r="A47" t="str">
        <x:v>CLA</x:v>
      </x:c>
      <x:c r="B47" t="str">
        <x:v>Cortical subplate</x:v>
      </x:c>
      <x:c r="C47" t="n">
        <x:v>4</x:v>
      </x:c>
      <x:c r="D47" t="n">
        <x:v>49</x:v>
      </x:c>
      <x:c r="E47" s="40" t="n">
        <x:v>2.9949402157454976</x:v>
      </x:c>
      <x:c r="F47" s="40" t="n">
        <x:v>114.19196699938436</x:v>
      </x:c>
      <x:c r="G47" s="87" t="n">
        <x:v>0.939060939060939</x:v>
      </x:c>
      <x:c r="H47" s="88" t="b">
        <x:v>1</x:v>
      </x:c>
      <x:c r="I47" s="87" t="n">
        <x:v>0.9681791077139914</x:v>
      </x:c>
      <x:c r="J47" s="17" t="b">
        <x:v>0</x:v>
      </x:c>
    </x:row>
    <x:row r="48">
      <x:c r="A48" t="str">
        <x:v>EPd</x:v>
      </x:c>
      <x:c r="B48" t="str">
        <x:v>Cortical subplate</x:v>
      </x:c>
      <x:c r="C48" t="n">
        <x:v>12</x:v>
      </x:c>
      <x:c r="D48" t="n">
        <x:v>199</x:v>
      </x:c>
      <x:c r="E48" s="40" t="n">
        <x:v>0.8238074833066422</x:v>
      </x:c>
      <x:c r="F48" s="40" t="n">
        <x:v>122.02568445344328</x:v>
      </x:c>
      <x:c r="G48" s="87" t="n">
        <x:v>0.0569430569430569</x:v>
      </x:c>
      <x:c r="H48" s="88" t="b">
        <x:v>1</x:v>
      </x:c>
      <x:c r="I48" s="87" t="n">
        <x:v>0.1272844802256567</x:v>
      </x:c>
      <x:c r="J48" s="17" t="b">
        <x:v>0</x:v>
      </x:c>
    </x:row>
    <x:row r="49">
      <x:c r="A49" t="str">
        <x:v>EPv</x:v>
      </x:c>
      <x:c r="B49" t="str">
        <x:v>Cortical subplate</x:v>
      </x:c>
      <x:c r="C49" t="n">
        <x:v>12</x:v>
      </x:c>
      <x:c r="D49" t="n">
        <x:v>124</x:v>
      </x:c>
      <x:c r="E49" s="40" t="n">
        <x:v>0.6156321022844806</x:v>
      </x:c>
      <x:c r="F49" s="40" t="n">
        <x:v>34.02898554802279</x:v>
      </x:c>
      <x:c r="G49" s="87" t="n">
        <x:v>0.6803196803196803</x:v>
      </x:c>
      <x:c r="H49" s="88" t="b">
        <x:v>1</x:v>
      </x:c>
      <x:c r="I49" s="87" t="n">
        <x:v>0.7733548502779272</x:v>
      </x:c>
      <x:c r="J49" s="17" t="b">
        <x:v>0</x:v>
      </x:c>
    </x:row>
    <x:row r="50">
      <x:c r="A50" t="str">
        <x:v>LA</x:v>
      </x:c>
      <x:c r="B50" t="str">
        <x:v>Cortical subplate</x:v>
      </x:c>
      <x:c r="C50" t="n">
        <x:v>8</x:v>
      </x:c>
      <x:c r="D50" t="n">
        <x:v>63</x:v>
      </x:c>
      <x:c r="E50" s="40" t="n">
        <x:v>1.34345681617735</x:v>
      </x:c>
      <x:c r="F50" s="40" t="n">
        <x:v>65.35194775331887</x:v>
      </x:c>
      <x:c r="G50" s="87" t="n">
        <x:v>0.2337662337662337</x:v>
      </x:c>
      <x:c r="H50" s="88" t="b">
        <x:v>1</x:v>
      </x:c>
      <x:c r="I50" s="87" t="n">
        <x:v>0.3854787188120521</x:v>
      </x:c>
      <x:c r="J50" s="17" t="b">
        <x:v>0</x:v>
      </x:c>
    </x:row>
    <x:row r="51">
      <x:c r="A51" t="str">
        <x:v>PA</x:v>
      </x:c>
      <x:c r="B51" t="str">
        <x:v>Cortical subplate</x:v>
      </x:c>
      <x:c r="C51" t="n">
        <x:v>12</x:v>
      </x:c>
      <x:c r="D51" t="n">
        <x:v>113</x:v>
      </x:c>
      <x:c r="E51" s="40" t="n">
        <x:v>0.732120041642889</x:v>
      </x:c>
      <x:c r="F51" s="40" t="n">
        <x:v>15.583392253820936</x:v>
      </x:c>
      <x:c r="G51" s="87" t="n">
        <x:v>0.8991008991008991</x:v>
      </x:c>
      <x:c r="H51" s="88" t="b">
        <x:v>1</x:v>
      </x:c>
      <x:c r="I51" s="87" t="n">
        <x:v>0.9399698340874812</x:v>
      </x:c>
      <x:c r="J51" s="17" t="b">
        <x:v>0</x:v>
      </x:c>
    </x:row>
    <x:row r="52">
      <x:c r="A52" t="str">
        <x:v>AMB</x:v>
      </x:c>
      <x:c r="B52" t="str">
        <x:v>Hindbrain</x:v>
      </x:c>
      <x:c r="C52" t="n">
        <x:v>2</x:v>
      </x:c>
      <x:c r="D52" t="n">
        <x:v>8</x:v>
      </x:c>
      <x:c r="E52" s="40" t="n">
        <x:v>5.149925696470638</x:v>
      </x:c>
      <x:c r="F52" s="40" t="n">
        <x:v>119.76033997502986</x:v>
      </x:c>
      <x:c r="G52" s="87" t="n">
        <x:v>0.3526473526473526</x:v>
      </x:c>
      <x:c r="H52" s="88" t="b">
        <x:v>0</x:v>
      </x:c>
      <x:c r="I52" s="87" t="n">
        <x:v>0.5043236333558914</x:v>
      </x:c>
      <x:c r="J52" s="17" t="b">
        <x:v>0</x:v>
      </x:c>
    </x:row>
    <x:row r="53">
      <x:c r="A53" t="str">
        <x:v>AP</x:v>
      </x:c>
      <x:c r="B53" t="str">
        <x:v>Hindbrain</x:v>
      </x:c>
      <x:c r="C53" t="n">
        <x:v>1</x:v>
      </x:c>
      <x:c r="D53" t="n">
        <x:v>3</x:v>
      </x:c>
      <x:c r="E53" s="40" t="n">
        <x:v>5.423620333616574</x:v>
      </x:c>
      <x:c r="F53" s="40" t="n">
        <x:v>33.76934554589608</x:v>
      </x:c>
      <x:c r="G53" s="87" t="n">
        <x:v>0.6793206793206793</x:v>
      </x:c>
      <x:c r="H53" s="88" t="b">
        <x:v>0</x:v>
      </x:c>
      <x:c r="I53" s="87" t="n">
        <x:v>0.7733548502779272</x:v>
      </x:c>
      <x:c r="J53" s="17" t="b">
        <x:v>0</x:v>
      </x:c>
    </x:row>
    <x:row r="54">
      <x:c r="A54" t="str">
        <x:v>CS</x:v>
      </x:c>
      <x:c r="B54" t="str">
        <x:v>Hindbrain</x:v>
      </x:c>
      <x:c r="C54" t="n">
        <x:v>10</x:v>
      </x:c>
      <x:c r="D54" t="n">
        <x:v>391</x:v>
      </x:c>
      <x:c r="E54" s="40" t="n">
        <x:v>2.884217694955064</x:v>
      </x:c>
      <x:c r="F54" s="40" t="n">
        <x:v>110.98933907667003</x:v>
      </x:c>
      <x:c r="G54" s="87" t="n">
        <x:v>0.0039960039960039</x:v>
      </x:c>
      <x:c r="H54" s="88" t="b">
        <x:v>1</x:v>
      </x:c>
      <x:c r="I54" s="87" t="n">
        <x:v>0.0189810189810189</x:v>
      </x:c>
      <x:c r="J54" s="17" t="b">
        <x:v>0</x:v>
      </x:c>
    </x:row>
    <x:row r="55">
      <x:c r="A55" t="str">
        <x:v>CU</x:v>
      </x:c>
      <x:c r="B55" t="str">
        <x:v>Hindbrain</x:v>
      </x:c>
      <x:c r="C55" t="n">
        <x:v>4</x:v>
      </x:c>
      <x:c r="D55" t="n">
        <x:v>24</x:v>
      </x:c>
      <x:c r="E55" s="40" t="n">
        <x:v>1.7966743394214468</x:v>
      </x:c>
      <x:c r="F55" s="40" t="n">
        <x:v>14.293024365800814</x:v>
      </x:c>
      <x:c r="G55" s="87" t="n">
        <x:v>0.5794205794205795</x:v>
      </x:c>
      <x:c r="H55" s="88" t="b">
        <x:v>1</x:v>
      </x:c>
      <x:c r="I55" s="87" t="n">
        <x:v>0.7002457002457002</x:v>
      </x:c>
      <x:c r="J55" s="17" t="b">
        <x:v>0</x:v>
      </x:c>
    </x:row>
    <x:row r="56">
      <x:c r="A56" t="str">
        <x:v>DCO</x:v>
      </x:c>
      <x:c r="B56" t="str">
        <x:v>Hindbrain</x:v>
      </x:c>
      <x:c r="C56" t="n">
        <x:v>13</x:v>
      </x:c>
      <x:c r="D56" t="n">
        <x:v>312</x:v>
      </x:c>
      <x:c r="E56" s="40" t="n">
        <x:v>3.447351058374524</x:v>
      </x:c>
      <x:c r="F56" s="40" t="n">
        <x:v>110.96283746629506</x:v>
      </x:c>
      <x:c r="G56" s="87" t="n">
        <x:v>0.2027972027972027</x:v>
      </x:c>
      <x:c r="H56" s="88" t="b">
        <x:v>1</x:v>
      </x:c>
      <x:c r="I56" s="87" t="n">
        <x:v>0.3452852879604472</x:v>
      </x:c>
      <x:c r="J56" s="17" t="b">
        <x:v>0</x:v>
      </x:c>
    </x:row>
    <x:row r="57">
      <x:c r="A57" t="str">
        <x:v>DMX</x:v>
      </x:c>
      <x:c r="B57" t="str">
        <x:v>Hindbrain</x:v>
      </x:c>
      <x:c r="C57" t="n">
        <x:v>1</x:v>
      </x:c>
      <x:c r="D57" t="n">
        <x:v>2</x:v>
      </x:c>
      <x:c r="E57" s="40" t="n">
        <x:v>3.2542648116829653</x:v>
      </x:c>
      <x:c r="F57" s="40" t="n">
        <x:v>81.6376924586029</x:v>
      </x:c>
      <x:c r="G57" s="87" t="n">
        <x:v>0.5494505494505495</x:v>
      </x:c>
      <x:c r="H57" s="88" t="b">
        <x:v>0</x:v>
      </x:c>
      <x:c r="I57" s="87" t="n">
        <x:v>0.6829618979151689</x:v>
      </x:c>
      <x:c r="J57" s="17" t="b">
        <x:v>0</x:v>
      </x:c>
    </x:row>
    <x:row r="58">
      <x:c r="A58" t="str">
        <x:v>DTN</x:v>
      </x:c>
      <x:c r="B58" t="str">
        <x:v>Hindbrain</x:v>
      </x:c>
      <x:c r="C58" t="n">
        <x:v>2</x:v>
      </x:c>
      <x:c r="D58" t="n">
        <x:v>21</x:v>
      </x:c>
      <x:c r="E58" s="40" t="n">
        <x:v>2.9239143218744013</x:v>
      </x:c>
      <x:c r="F58" s="40" t="n">
        <x:v>11.99457895284036</x:v>
      </x:c>
      <x:c r="G58" s="87" t="n">
        <x:v>0.4905094905094905</x:v>
      </x:c>
      <x:c r="H58" s="88" t="b">
        <x:v>1</x:v>
      </x:c>
      <x:c r="I58" s="87" t="n">
        <x:v>0.6333763324054587</x:v>
      </x:c>
      <x:c r="J58" s="17" t="b">
        <x:v>0</x:v>
      </x:c>
    </x:row>
    <x:row r="59">
      <x:c r="A59" t="str">
        <x:v>ECU</x:v>
      </x:c>
      <x:c r="B59" t="str">
        <x:v>Hindbrain</x:v>
      </x:c>
      <x:c r="C59" t="n">
        <x:v>4</x:v>
      </x:c>
      <x:c r="D59" t="n">
        <x:v>21</x:v>
      </x:c>
      <x:c r="E59" s="40" t="n">
        <x:v>3.835990820922068</x:v>
      </x:c>
      <x:c r="F59" s="40" t="n">
        <x:v>113.52276337706289</x:v>
      </x:c>
      <x:c r="G59" s="87" t="n">
        <x:v>0.956043956043956</x:v>
      </x:c>
      <x:c r="H59" s="88" t="b">
        <x:v>1</x:v>
      </x:c>
      <x:c r="I59" s="87" t="n">
        <x:v>0.9814049586776858</x:v>
      </x:c>
      <x:c r="J59" s="17" t="b">
        <x:v>0</x:v>
      </x:c>
    </x:row>
    <x:row r="60">
      <x:c r="A60" t="str">
        <x:v>GR</x:v>
      </x:c>
      <x:c r="B60" t="str">
        <x:v>Hindbrain</x:v>
      </x:c>
      <x:c r="C60" t="n">
        <x:v>1</x:v>
      </x:c>
      <x:c r="D60" t="n">
        <x:v>9</x:v>
      </x:c>
      <x:c r="E60" s="40" t="n">
        <x:v>3.6395569046712457</x:v>
      </x:c>
      <x:c r="F60" s="40" t="n">
        <x:v>17.68912750905098</x:v>
      </x:c>
      <x:c r="G60" s="87" t="n">
        <x:v>0.5074925074925075</x:v>
      </x:c>
      <x:c r="H60" s="88" t="b">
        <x:v>0</x:v>
      </x:c>
      <x:c r="I60" s="87" t="n">
        <x:v>0.6490048413125336</x:v>
      </x:c>
      <x:c r="J60" s="17" t="b">
        <x:v>0</x:v>
      </x:c>
    </x:row>
    <x:row r="61">
      <x:c r="A61" t="str">
        <x:v>GRN</x:v>
      </x:c>
      <x:c r="B61" t="str">
        <x:v>Hindbrain</x:v>
      </x:c>
      <x:c r="C61" t="n">
        <x:v>17</x:v>
      </x:c>
      <x:c r="D61" t="n">
        <x:v>560</x:v>
      </x:c>
      <x:c r="E61" s="40" t="n">
        <x:v>13.706352955515916</x:v>
      </x:c>
      <x:c r="F61" s="40" t="n">
        <x:v>109.00560645062268</x:v>
      </x:c>
      <x:c r="G61" s="87" t="n">
        <x:v>0.0009990009990009</x:v>
      </x:c>
      <x:c r="H61" s="88" t="b">
        <x:v>1</x:v>
      </x:c>
      <x:c r="I61" s="87" t="n">
        <x:v>0.0066433566433566</x:v>
      </x:c>
      <x:c r="J61" s="17" t="b">
        <x:v>1</x:v>
      </x:c>
    </x:row>
    <x:row r="62">
      <x:c r="A62" t="str">
        <x:v>I5</x:v>
      </x:c>
      <x:c r="B62" t="str">
        <x:v>Hindbrain</x:v>
      </x:c>
      <x:c r="C62" t="n">
        <x:v>4</x:v>
      </x:c>
      <x:c r="D62" t="n">
        <x:v>42</x:v>
      </x:c>
      <x:c r="E62" s="40" t="n">
        <x:v>3.464782129522643</x:v>
      </x:c>
      <x:c r="F62" s="40" t="n">
        <x:v>93.53117141531716</x:v>
      </x:c>
      <x:c r="G62" s="87" t="n">
        <x:v>0.2397602397602397</x:v>
      </x:c>
      <x:c r="H62" s="88" t="b">
        <x:v>1</x:v>
      </x:c>
      <x:c r="I62" s="87" t="n">
        <x:v>0.3888794132696572</x:v>
      </x:c>
      <x:c r="J62" s="17" t="b">
        <x:v>0</x:v>
      </x:c>
    </x:row>
    <x:row r="63">
      <x:c r="A63" t="str">
        <x:v>ICB</x:v>
      </x:c>
      <x:c r="B63" t="str">
        <x:v>Hindbrain</x:v>
      </x:c>
      <x:c r="C63" t="n">
        <x:v>8</x:v>
      </x:c>
      <x:c r="D63" t="n">
        <x:v>65</x:v>
      </x:c>
      <x:c r="E63" s="40" t="n">
        <x:v>1.8390800716011588</x:v>
      </x:c>
      <x:c r="F63" s="40" t="n">
        <x:v>24.652069471848908</x:v>
      </x:c>
      <x:c r="G63" s="87" t="n">
        <x:v>0.7882117882117882</x:v>
      </x:c>
      <x:c r="H63" s="88" t="b">
        <x:v>1</x:v>
      </x:c>
      <x:c r="I63" s="87" t="n">
        <x:v>0.8592800641980969</x:v>
      </x:c>
      <x:c r="J63" s="17" t="b">
        <x:v>0</x:v>
      </x:c>
    </x:row>
    <x:row r="64">
      <x:c r="A64" t="str">
        <x:v>IO</x:v>
      </x:c>
      <x:c r="B64" t="str">
        <x:v>Hindbrain</x:v>
      </x:c>
      <x:c r="C64" t="n">
        <x:v>1</x:v>
      </x:c>
      <x:c r="D64" t="n">
        <x:v>2</x:v>
      </x:c>
      <x:c r="E64" s="40" t="n">
        <x:v>9.381888537174357</x:v>
      </x:c>
      <x:c r="F64" s="40" t="n">
        <x:v>93.12400827710856</x:v>
      </x:c>
      <x:c r="G64" s="87" t="n">
        <x:v>0.3506493506493506</x:v>
      </x:c>
      <x:c r="H64" s="88" t="b">
        <x:v>0</x:v>
      </x:c>
      <x:c r="I64" s="87" t="n">
        <x:v>0.5041769041769042</x:v>
      </x:c>
      <x:c r="J64" s="17" t="b">
        <x:v>0</x:v>
      </x:c>
    </x:row>
    <x:row r="65">
      <x:c r="A65" t="str">
        <x:v>IRN</x:v>
      </x:c>
      <x:c r="B65" t="str">
        <x:v>Hindbrain</x:v>
      </x:c>
      <x:c r="C65" t="n">
        <x:v>31</x:v>
      </x:c>
      <x:c r="D65" t="n">
        <x:v>744</x:v>
      </x:c>
      <x:c r="E65" s="40" t="n">
        <x:v>8.837107284941812</x:v>
      </x:c>
      <x:c r="F65" s="40" t="n">
        <x:v>119.17715310777434</x:v>
      </x:c>
      <x:c r="G65" s="87" t="n">
        <x:v>0.0009990009990009</x:v>
      </x:c>
      <x:c r="H65" s="88" t="b">
        <x:v>1</x:v>
      </x:c>
      <x:c r="I65" s="87" t="n">
        <x:v>0.0066433566433566</x:v>
      </x:c>
      <x:c r="J65" s="17" t="b">
        <x:v>1</x:v>
      </x:c>
    </x:row>
    <x:row r="66">
      <x:c r="A66" t="str">
        <x:v>ISN</x:v>
      </x:c>
      <x:c r="B66" t="str">
        <x:v>Hindbrain</x:v>
      </x:c>
      <x:c r="C66" t="n">
        <x:v>1</x:v>
      </x:c>
      <x:c r="D66" t="n">
        <x:v>4</x:v>
      </x:c>
      <x:c r="E66" s="40" t="n">
        <x:v>16.963210757134995</x:v>
      </x:c>
      <x:c r="F66" s="40" t="n">
        <x:v>110.99250123681198</x:v>
      </x:c>
      <x:c r="G66" s="87" t="n">
        <x:v>0.0259740259740259</x:v>
      </x:c>
      <x:c r="H66" s="88" t="b">
        <x:v>0</x:v>
      </x:c>
      <x:c r="I66" s="87" t="n">
        <x:v>0.0719696969696969</x:v>
      </x:c>
      <x:c r="J66" s="17" t="b">
        <x:v>0</x:v>
      </x:c>
    </x:row>
    <x:row r="67">
      <x:c r="A67" t="str">
        <x:v>LAV</x:v>
      </x:c>
      <x:c r="B67" t="str">
        <x:v>Hindbrain</x:v>
      </x:c>
      <x:c r="C67" t="n">
        <x:v>11</x:v>
      </x:c>
      <x:c r="D67" t="n">
        <x:v>169</x:v>
      </x:c>
      <x:c r="E67" s="40" t="n">
        <x:v>6.09108025143964</x:v>
      </x:c>
      <x:c r="F67" s="40" t="n">
        <x:v>125.21314190435476</x:v>
      </x:c>
      <x:c r="G67" s="87" t="n">
        <x:v>0.0449550449550449</x:v>
      </x:c>
      <x:c r="H67" s="88" t="b">
        <x:v>1</x:v>
      </x:c>
      <x:c r="I67" s="87" t="n">
        <x:v>0.1058233801596633</x:v>
      </x:c>
      <x:c r="J67" s="17" t="b">
        <x:v>0</x:v>
      </x:c>
    </x:row>
    <x:row r="68">
      <x:c r="A68" t="str">
        <x:v>LDT</x:v>
      </x:c>
      <x:c r="B68" t="str">
        <x:v>Hindbrain</x:v>
      </x:c>
      <x:c r="C68" t="n">
        <x:v>2</x:v>
      </x:c>
      <x:c r="D68" t="n">
        <x:v>51</x:v>
      </x:c>
      <x:c r="E68" s="40" t="n">
        <x:v>2.9837001808793233</x:v>
      </x:c>
      <x:c r="F68" s="40" t="n">
        <x:v>92.95047366858786</x:v>
      </x:c>
      <x:c r="G68" s="87" t="n">
        <x:v>0.0139860139860139</x:v>
      </x:c>
      <x:c r="H68" s="88" t="b">
        <x:v>1</x:v>
      </x:c>
      <x:c r="I68" s="87" t="n">
        <x:v>0.0483153210425937</x:v>
      </x:c>
      <x:c r="J68" s="17" t="b">
        <x:v>0</x:v>
      </x:c>
    </x:row>
    <x:row r="69">
      <x:c r="A69" t="str">
        <x:v>LIN</x:v>
      </x:c>
      <x:c r="B69" t="str">
        <x:v>Hindbrain</x:v>
      </x:c>
      <x:c r="C69" t="n">
        <x:v>1</x:v>
      </x:c>
      <x:c r="D69" t="n">
        <x:v>11</x:v>
      </x:c>
      <x:c r="E69" s="40" t="n">
        <x:v>4.908727135700261</x:v>
      </x:c>
      <x:c r="F69" s="40" t="n">
        <x:v>140.92317458961705</x:v>
      </x:c>
      <x:c r="G69" s="87" t="n">
        <x:v>0.2057942057942058</x:v>
      </x:c>
      <x:c r="H69" s="88" t="b">
        <x:v>0</x:v>
      </x:c>
      <x:c r="I69" s="87" t="n">
        <x:v>0.3464636629193591</x:v>
      </x:c>
      <x:c r="J69" s="17" t="b">
        <x:v>0</x:v>
      </x:c>
    </x:row>
    <x:row r="70">
      <x:c r="A70" t="str">
        <x:v>LRN</x:v>
      </x:c>
      <x:c r="B70" t="str">
        <x:v>Hindbrain</x:v>
      </x:c>
      <x:c r="C70" t="n">
        <x:v>5</x:v>
      </x:c>
      <x:c r="D70" t="n">
        <x:v>31</x:v>
      </x:c>
      <x:c r="E70" s="40" t="n">
        <x:v>3.336127935671485</x:v>
      </x:c>
      <x:c r="F70" s="40" t="n">
        <x:v>96.39767192843124</x:v>
      </x:c>
      <x:c r="G70" s="87" t="n">
        <x:v>0.5464535464535465</x:v>
      </x:c>
      <x:c r="H70" s="88" t="b">
        <x:v>1</x:v>
      </x:c>
      <x:c r="I70" s="87" t="n">
        <x:v>0.6824255556649923</x:v>
      </x:c>
      <x:c r="J70" s="17" t="b">
        <x:v>0</x:v>
      </x:c>
    </x:row>
    <x:row r="71">
      <x:c r="A71" t="str">
        <x:v>MARN</x:v>
      </x:c>
      <x:c r="B71" t="str">
        <x:v>Hindbrain</x:v>
      </x:c>
      <x:c r="C71" t="n">
        <x:v>4</x:v>
      </x:c>
      <x:c r="D71" t="n">
        <x:v>83</x:v>
      </x:c>
      <x:c r="E71" s="40" t="n">
        <x:v>5.388506058949041</x:v>
      </x:c>
      <x:c r="F71" s="40" t="n">
        <x:v>118.76794730146231</x:v>
      </x:c>
      <x:c r="G71" s="87" t="n">
        <x:v>0.0809190809190809</x:v>
      </x:c>
      <x:c r="H71" s="88" t="b">
        <x:v>1</x:v>
      </x:c>
      <x:c r="I71" s="87" t="n">
        <x:v>0.1749957359713457</x:v>
      </x:c>
      <x:c r="J71" s="17" t="b">
        <x:v>0</x:v>
      </x:c>
    </x:row>
    <x:row r="72">
      <x:c r="A72" t="str">
        <x:v>MDRN</x:v>
      </x:c>
      <x:c r="B72" t="str">
        <x:v>Hindbrain</x:v>
      </x:c>
      <x:c r="C72" t="n">
        <x:v>8</x:v>
      </x:c>
      <x:c r="D72" t="n">
        <x:v>180</x:v>
      </x:c>
      <x:c r="E72" s="40" t="n">
        <x:v>3.5771845105837095</x:v>
      </x:c>
      <x:c r="F72" s="40" t="n">
        <x:v>124.13801396594668</x:v>
      </x:c>
      <x:c r="G72" s="87" t="n">
        <x:v>0.0019980019980019</x:v>
      </x:c>
      <x:c r="H72" s="88" t="b">
        <x:v>1</x:v>
      </x:c>
      <x:c r="I72" s="87" t="n">
        <x:v>0.0120788302606484</x:v>
      </x:c>
      <x:c r="J72" s="17" t="b">
        <x:v>0</x:v>
      </x:c>
    </x:row>
    <x:row r="73">
      <x:c r="A73" t="str">
        <x:v>MV</x:v>
      </x:c>
      <x:c r="B73" t="str">
        <x:v>Hindbrain</x:v>
      </x:c>
      <x:c r="C73" t="n">
        <x:v>22</x:v>
      </x:c>
      <x:c r="D73" t="n">
        <x:v>672</x:v>
      </x:c>
      <x:c r="E73" s="40" t="n">
        <x:v>4.895202421515641</x:v>
      </x:c>
      <x:c r="F73" s="40" t="n">
        <x:v>124.87236758471512</x:v>
      </x:c>
      <x:c r="G73" s="87" t="n">
        <x:v>0.0199800199800199</x:v>
      </x:c>
      <x:c r="H73" s="88" t="b">
        <x:v>1</x:v>
      </x:c>
      <x:c r="I73" s="87" t="n">
        <x:v>0.0617986664498292</x:v>
      </x:c>
      <x:c r="J73" s="17" t="b">
        <x:v>0</x:v>
      </x:c>
    </x:row>
    <x:row r="74">
      <x:c r="A74" t="str">
        <x:v>NI</x:v>
      </x:c>
      <x:c r="B74" t="str">
        <x:v>Hindbrain</x:v>
      </x:c>
      <x:c r="C74" t="n">
        <x:v>5</x:v>
      </x:c>
      <x:c r="D74" t="n">
        <x:v>24</x:v>
      </x:c>
      <x:c r="E74" s="40" t="n">
        <x:v>2.752703699983474</x:v>
      </x:c>
      <x:c r="F74" s="40" t="n">
        <x:v>96.20985231951018</x:v>
      </x:c>
      <x:c r="G74" s="87" t="n">
        <x:v>0.2487512487512487</x:v>
      </x:c>
      <x:c r="H74" s="88" t="b">
        <x:v>1</x:v>
      </x:c>
      <x:c r="I74" s="87" t="n">
        <x:v>0.3962145638792345</x:v>
      </x:c>
      <x:c r="J74" s="17" t="b">
        <x:v>0</x:v>
      </x:c>
    </x:row>
    <x:row r="75">
      <x:c r="A75" t="str">
        <x:v>NLL</x:v>
      </x:c>
      <x:c r="B75" t="str">
        <x:v>Hindbrain</x:v>
      </x:c>
      <x:c r="C75" t="n">
        <x:v>8</x:v>
      </x:c>
      <x:c r="D75" t="n">
        <x:v>184</x:v>
      </x:c>
      <x:c r="E75" s="40" t="n">
        <x:v>1.8151672902766751</x:v>
      </x:c>
      <x:c r="F75" s="40" t="n">
        <x:v>104.05086077817896</x:v>
      </x:c>
      <x:c r="G75" s="87" t="n">
        <x:v>0.0229770229770229</x:v>
      </x:c>
      <x:c r="H75" s="88" t="b">
        <x:v>1</x:v>
      </x:c>
      <x:c r="I75" s="87" t="n">
        <x:v>0.0664335664335664</x:v>
      </x:c>
      <x:c r="J75" s="17" t="b">
        <x:v>0</x:v>
      </x:c>
    </x:row>
    <x:row r="76">
      <x:c r="A76" t="str">
        <x:v>NTS</x:v>
      </x:c>
      <x:c r="B76" t="str">
        <x:v>Hindbrain</x:v>
      </x:c>
      <x:c r="C76" t="n">
        <x:v>20</x:v>
      </x:c>
      <x:c r="D76" t="n">
        <x:v>124</x:v>
      </x:c>
      <x:c r="E76" s="40" t="n">
        <x:v>4.03419897426914</x:v>
      </x:c>
      <x:c r="F76" s="40" t="n">
        <x:v>127.77840672495404</x:v>
      </x:c>
      <x:c r="G76" s="87" t="n">
        <x:v>0.1518481518481518</x:v>
      </x:c>
      <x:c r="H76" s="88" t="b">
        <x:v>1</x:v>
      </x:c>
      <x:c r="I76" s="87" t="n">
        <x:v>0.2824587999413174</x:v>
      </x:c>
      <x:c r="J76" s="17" t="b">
        <x:v>0</x:v>
      </x:c>
    </x:row>
    <x:row r="77">
      <x:c r="A77" t="str">
        <x:v>P5</x:v>
      </x:c>
      <x:c r="B77" t="str">
        <x:v>Hindbrain</x:v>
      </x:c>
      <x:c r="C77" t="n">
        <x:v>5</x:v>
      </x:c>
      <x:c r="D77" t="n">
        <x:v>46</x:v>
      </x:c>
      <x:c r="E77" s="40" t="n">
        <x:v>1.653154643956422</x:v>
      </x:c>
      <x:c r="F77" s="40" t="n">
        <x:v>83.11667619303083</x:v>
      </x:c>
      <x:c r="G77" s="87" t="n">
        <x:v>0.8581418581418582</x:v>
      </x:c>
      <x:c r="H77" s="88" t="b">
        <x:v>1</x:v>
      </x:c>
      <x:c r="I77" s="87" t="n">
        <x:v>0.9177970623753756</x:v>
      </x:c>
      <x:c r="J77" s="17" t="b">
        <x:v>0</x:v>
      </x:c>
    </x:row>
    <x:row r="78">
      <x:c r="A78" t="str">
        <x:v>PARN</x:v>
      </x:c>
      <x:c r="B78" t="str">
        <x:v>Hindbrain</x:v>
      </x:c>
      <x:c r="C78" t="n">
        <x:v>21</x:v>
      </x:c>
      <x:c r="D78" t="n">
        <x:v>423</x:v>
      </x:c>
      <x:c r="E78" s="40" t="n">
        <x:v>4.188350286262342</x:v>
      </x:c>
      <x:c r="F78" s="40" t="n">
        <x:v>135.46565840054808</x:v>
      </x:c>
      <x:c r="G78" s="87" t="n">
        <x:v>0.2757242757242757</x:v>
      </x:c>
      <x:c r="H78" s="88" t="b">
        <x:v>1</x:v>
      </x:c>
      <x:c r="I78" s="87" t="n">
        <x:v>0.4289044289044288</x:v>
      </x:c>
      <x:c r="J78" s="17" t="b">
        <x:v>0</x:v>
      </x:c>
    </x:row>
    <x:row r="79">
      <x:c r="A79" t="str">
        <x:v>PAS</x:v>
      </x:c>
      <x:c r="B79" t="str">
        <x:v>Hindbrain</x:v>
      </x:c>
      <x:c r="C79" t="n">
        <x:v>1</x:v>
      </x:c>
      <x:c r="D79" t="n">
        <x:v>1</x:v>
      </x:c>
      <x:c r="E79" s="40" t="n">
        <x:v>1.302083368937174</x:v>
      </x:c>
      <x:c r="F79" s="40" t="n">
        <x:v>127.50000030761716</x:v>
      </x:c>
      <x:c r="G79" s="87" t="n">
        <x:v>0.1648351648351648</x:v>
      </x:c>
      <x:c r="H79" s="88" t="b">
        <x:v>0</x:v>
      </x:c>
      <x:c r="I79" s="87" t="n">
        <x:v>0.2982731554160125</x:v>
      </x:c>
      <x:c r="J79" s="17" t="b">
        <x:v>0</x:v>
      </x:c>
    </x:row>
    <x:row r="80">
      <x:c r="A80" t="str">
        <x:v>PB</x:v>
      </x:c>
      <x:c r="B80" t="str">
        <x:v>Hindbrain</x:v>
      </x:c>
      <x:c r="C80" t="n">
        <x:v>28</x:v>
      </x:c>
      <x:c r="D80" t="n">
        <x:v>306</x:v>
      </x:c>
      <x:c r="E80" s="40" t="n">
        <x:v>2.454373467369703</x:v>
      </x:c>
      <x:c r="F80" s="40" t="n">
        <x:v>139.54942170711652</x:v>
      </x:c>
      <x:c r="G80" s="87" t="n">
        <x:v>0.3576423576423576</x:v>
      </x:c>
      <x:c r="H80" s="88" t="b">
        <x:v>1</x:v>
      </x:c>
      <x:c r="I80" s="87" t="n">
        <x:v>0.5087319098014286</x:v>
      </x:c>
      <x:c r="J80" s="17" t="b">
        <x:v>0</x:v>
      </x:c>
    </x:row>
    <x:row r="81">
      <x:c r="A81" t="str">
        <x:v>PC5</x:v>
      </x:c>
      <x:c r="B81" t="str">
        <x:v>Hindbrain</x:v>
      </x:c>
      <x:c r="C81" t="n">
        <x:v>4</x:v>
      </x:c>
      <x:c r="D81" t="n">
        <x:v>35</x:v>
      </x:c>
      <x:c r="E81" s="40" t="n">
        <x:v>3.2127246793818824</x:v>
      </x:c>
      <x:c r="F81" s="40" t="n">
        <x:v>14.3878949506402</x:v>
      </x:c>
      <x:c r="G81" s="87" t="n">
        <x:v>0.2397602397602397</x:v>
      </x:c>
      <x:c r="H81" s="88" t="b">
        <x:v>1</x:v>
      </x:c>
      <x:c r="I81" s="87" t="n">
        <x:v>0.3888794132696572</x:v>
      </x:c>
      <x:c r="J81" s="17" t="b">
        <x:v>0</x:v>
      </x:c>
    </x:row>
    <x:row r="82">
      <x:c r="A82" t="str">
        <x:v>PCG</x:v>
      </x:c>
      <x:c r="B82" t="str">
        <x:v>Hindbrain</x:v>
      </x:c>
      <x:c r="C82" t="n">
        <x:v>7</x:v>
      </x:c>
      <x:c r="D82" t="n">
        <x:v>82</x:v>
      </x:c>
      <x:c r="E82" s="40" t="n">
        <x:v>3.5133230115602956</x:v>
      </x:c>
      <x:c r="F82" s="40" t="n">
        <x:v>102.533748070762</x:v>
      </x:c>
      <x:c r="G82" s="87" t="n">
        <x:v>0.1068931068931069</x:v>
      </x:c>
      <x:c r="H82" s="88" t="b">
        <x:v>1</x:v>
      </x:c>
      <x:c r="I82" s="87" t="n">
        <x:v>0.2075442805369812</x:v>
      </x:c>
      <x:c r="J82" s="17" t="b">
        <x:v>0</x:v>
      </x:c>
    </x:row>
    <x:row r="83">
      <x:c r="A83" t="str">
        <x:v>PDTg</x:v>
      </x:c>
      <x:c r="B83" t="str">
        <x:v>Hindbrain</x:v>
      </x:c>
      <x:c r="C83" t="n">
        <x:v>2</x:v>
      </x:c>
      <x:c r="D83" t="n">
        <x:v>12</x:v>
      </x:c>
      <x:c r="E83" s="40" t="n">
        <x:v>8.543468615304256</x:v>
      </x:c>
      <x:c r="F83" s="40" t="n">
        <x:v>130.52073491084803</x:v>
      </x:c>
      <x:c r="G83" s="87" t="n">
        <x:v>0.0009990009990009</x:v>
      </x:c>
      <x:c r="H83" s="88" t="b">
        <x:v>0</x:v>
      </x:c>
      <x:c r="I83" s="87" t="n">
        <x:v>0.0066433566433566</x:v>
      </x:c>
      <x:c r="J83" s="17" t="b">
        <x:v>1</x:v>
      </x:c>
    </x:row>
    <x:row r="84">
      <x:c r="A84" t="str">
        <x:v>PG</x:v>
      </x:c>
      <x:c r="B84" t="str">
        <x:v>Hindbrain</x:v>
      </x:c>
      <x:c r="C84" t="n">
        <x:v>3</x:v>
      </x:c>
      <x:c r="D84" t="n">
        <x:v>9</x:v>
      </x:c>
      <x:c r="E84" s="40" t="n">
        <x:v>6.989422498580863</x:v>
      </x:c>
      <x:c r="F84" s="40" t="n">
        <x:v>102.75625042141289</x:v>
      </x:c>
      <x:c r="G84" s="87" t="n">
        <x:v>0.5574425574425574</x:v>
      </x:c>
      <x:c r="H84" s="88" t="b">
        <x:v>0</x:v>
      </x:c>
      <x:c r="I84" s="87" t="n">
        <x:v>0.6864801864801864</x:v>
      </x:c>
      <x:c r="J84" s="17" t="b">
        <x:v>0</x:v>
      </x:c>
    </x:row>
    <x:row r="85">
      <x:c r="A85" t="str">
        <x:v>PGRN</x:v>
      </x:c>
      <x:c r="B85" t="str">
        <x:v>Hindbrain</x:v>
      </x:c>
      <x:c r="C85" t="n">
        <x:v>12</x:v>
      </x:c>
      <x:c r="D85" t="n">
        <x:v>120</x:v>
      </x:c>
      <x:c r="E85" s="40" t="n">
        <x:v>8.735343432307719</x:v>
      </x:c>
      <x:c r="F85" s="40" t="n">
        <x:v>112.89618622918942</x:v>
      </x:c>
      <x:c r="G85" s="87" t="n">
        <x:v>0.0099900099900099</x:v>
      </x:c>
      <x:c r="H85" s="88" t="b">
        <x:v>1</x:v>
      </x:c>
      <x:c r="I85" s="87" t="n">
        <x:v>0.0385122124252559</x:v>
      </x:c>
      <x:c r="J85" s="17" t="b">
        <x:v>0</x:v>
      </x:c>
    </x:row>
    <x:row r="86">
      <x:c r="A86" t="str">
        <x:v>PRNc</x:v>
      </x:c>
      <x:c r="B86" t="str">
        <x:v>Hindbrain</x:v>
      </x:c>
      <x:c r="C86" t="n">
        <x:v>11</x:v>
      </x:c>
      <x:c r="D86" t="n">
        <x:v>280</x:v>
      </x:c>
      <x:c r="E86" s="40" t="n">
        <x:v>11.181414784360042</x:v>
      </x:c>
      <x:c r="F86" s="40" t="n">
        <x:v>100.07294565380091</x:v>
      </x:c>
      <x:c r="G86" s="87" t="n">
        <x:v>0.0039960039960039</x:v>
      </x:c>
      <x:c r="H86" s="88" t="b">
        <x:v>1</x:v>
      </x:c>
      <x:c r="I86" s="87" t="n">
        <x:v>0.0189810189810189</x:v>
      </x:c>
      <x:c r="J86" s="17" t="b">
        <x:v>0</x:v>
      </x:c>
    </x:row>
    <x:row r="87">
      <x:c r="A87" t="str">
        <x:v>PRNr</x:v>
      </x:c>
      <x:c r="B87" t="str">
        <x:v>Hindbrain</x:v>
      </x:c>
      <x:c r="C87" t="n">
        <x:v>26</x:v>
      </x:c>
      <x:c r="D87" t="n">
        <x:v>770</x:v>
      </x:c>
      <x:c r="E87" s="40" t="n">
        <x:v>6.23551943957167</x:v>
      </x:c>
      <x:c r="F87" s="40" t="n">
        <x:v>108.54778442693748</x:v>
      </x:c>
      <x:c r="G87" s="87" t="n">
        <x:v>0.0009990009990009</x:v>
      </x:c>
      <x:c r="H87" s="88" t="b">
        <x:v>1</x:v>
      </x:c>
      <x:c r="I87" s="87" t="n">
        <x:v>0.0066433566433566</x:v>
      </x:c>
      <x:c r="J87" s="17" t="b">
        <x:v>1</x:v>
      </x:c>
    </x:row>
    <x:row r="88">
      <x:c r="A88" t="str">
        <x:v>PRP</x:v>
      </x:c>
      <x:c r="B88" t="str">
        <x:v>Hindbrain</x:v>
      </x:c>
      <x:c r="C88" t="n">
        <x:v>5</x:v>
      </x:c>
      <x:c r="D88" t="n">
        <x:v>70</x:v>
      </x:c>
      <x:c r="E88" s="40" t="n">
        <x:v>5.546755793858759</x:v>
      </x:c>
      <x:c r="F88" s="40" t="n">
        <x:v>73.04319563528414</x:v>
      </x:c>
      <x:c r="G88" s="87" t="n">
        <x:v>0.1058941058941058</x:v>
      </x:c>
      <x:c r="H88" s="88" t="b">
        <x:v>1</x:v>
      </x:c>
      <x:c r="I88" s="87" t="n">
        <x:v>0.2071164129987659</x:v>
      </x:c>
      <x:c r="J88" s="17" t="b">
        <x:v>0</x:v>
      </x:c>
    </x:row>
    <x:row r="89">
      <x:c r="A89" t="str">
        <x:v>PSV</x:v>
      </x:c>
      <x:c r="B89" t="str">
        <x:v>Hindbrain</x:v>
      </x:c>
      <x:c r="C89" t="n">
        <x:v>8</x:v>
      </x:c>
      <x:c r="D89" t="n">
        <x:v>115</x:v>
      </x:c>
      <x:c r="E89" s="40" t="n">
        <x:v>5.877869600330034</x:v>
      </x:c>
      <x:c r="F89" s="40" t="n">
        <x:v>127.23577802754215</x:v>
      </x:c>
      <x:c r="G89" s="87" t="n">
        <x:v>0.0789210789210789</x:v>
      </x:c>
      <x:c r="H89" s="88" t="b">
        <x:v>1</x:v>
      </x:c>
      <x:c r="I89" s="87" t="n">
        <x:v>0.1720738278115327</x:v>
      </x:c>
      <x:c r="J89" s="17" t="b">
        <x:v>0</x:v>
      </x:c>
    </x:row>
    <x:row r="90">
      <x:c r="A90" t="str">
        <x:v>Pa5</x:v>
      </x:c>
      <x:c r="B90" t="str">
        <x:v>Hindbrain</x:v>
      </x:c>
      <x:c r="C90" t="n">
        <x:v>1</x:v>
      </x:c>
      <x:c r="D90" t="n">
        <x:v>4</x:v>
      </x:c>
      <x:c r="E90" s="40" t="n">
        <x:v>4.617920310711796</x:v>
      </x:c>
      <x:c r="F90" s="40" t="n">
        <x:v>24.909344725118853</x:v>
      </x:c>
      <x:c r="G90" s="87" t="n">
        <x:v>0.8591408591408591</x:v>
      </x:c>
      <x:c r="H90" s="88" t="b">
        <x:v>0</x:v>
      </x:c>
      <x:c r="I90" s="87" t="n">
        <x:v>0.9177970623753756</x:v>
      </x:c>
      <x:c r="J90" s="17" t="b">
        <x:v>0</x:v>
      </x:c>
    </x:row>
    <x:row r="91">
      <x:c r="A91" t="str">
        <x:v>RO</x:v>
      </x:c>
      <x:c r="B91" t="str">
        <x:v>Hindbrain</x:v>
      </x:c>
      <x:c r="C91" t="n">
        <x:v>1</x:v>
      </x:c>
      <x:c r="D91" t="n">
        <x:v>1</x:v>
      </x:c>
      <x:c r="E91" s="40" t="n">
        <x:v>2.1302237383919995</x:v>
      </x:c>
      <x:c r="F91" s="40" t="n">
        <x:v>113.99451904521172</x:v>
      </x:c>
      <x:c r="G91" s="87" t="n">
        <x:v>0.906093906093906</x:v>
      </x:c>
      <x:c r="H91" s="88" t="b">
        <x:v>0</x:v>
      </x:c>
      <x:c r="I91" s="87" t="n">
        <x:v>0.9414881993006992</x:v>
      </x:c>
      <x:c r="J91" s="17" t="b">
        <x:v>0</x:v>
      </x:c>
    </x:row>
    <x:row r="92">
      <x:c r="A92" t="str">
        <x:v>SOC</x:v>
      </x:c>
      <x:c r="B92" t="str">
        <x:v>Hindbrain</x:v>
      </x:c>
      <x:c r="C92" t="n">
        <x:v>8</x:v>
      </x:c>
      <x:c r="D92" t="n">
        <x:v>35</x:v>
      </x:c>
      <x:c r="E92" s="40" t="n">
        <x:v>17.40012372596083</x:v>
      </x:c>
      <x:c r="F92" s="40" t="n">
        <x:v>107.09373329191888</x:v>
      </x:c>
      <x:c r="G92" s="87" t="n">
        <x:v>0.0009990009990009</x:v>
      </x:c>
      <x:c r="H92" s="88" t="b">
        <x:v>1</x:v>
      </x:c>
      <x:c r="I92" s="87" t="n">
        <x:v>0.0066433566433566</x:v>
      </x:c>
      <x:c r="J92" s="17" t="b">
        <x:v>1</x:v>
      </x:c>
    </x:row>
    <x:row r="93">
      <x:c r="A93" t="str">
        <x:v>SPIV</x:v>
      </x:c>
      <x:c r="B93" t="str">
        <x:v>Hindbrain</x:v>
      </x:c>
      <x:c r="C93" t="n">
        <x:v>18</x:v>
      </x:c>
      <x:c r="D93" t="n">
        <x:v>327</x:v>
      </x:c>
      <x:c r="E93" s="40" t="n">
        <x:v>6.235902339318938</x:v>
      </x:c>
      <x:c r="F93" s="40" t="n">
        <x:v>128.76129483845375</x:v>
      </x:c>
      <x:c r="G93" s="87" t="n">
        <x:v>0.0019980019980019</x:v>
      </x:c>
      <x:c r="H93" s="88" t="b">
        <x:v>1</x:v>
      </x:c>
      <x:c r="I93" s="87" t="n">
        <x:v>0.0120788302606484</x:v>
      </x:c>
      <x:c r="J93" s="17" t="b">
        <x:v>0</x:v>
      </x:c>
    </x:row>
    <x:row r="94">
      <x:c r="A94" t="str">
        <x:v>SPVC</x:v>
      </x:c>
      <x:c r="B94" t="str">
        <x:v>Hindbrain</x:v>
      </x:c>
      <x:c r="C94" t="n">
        <x:v>5</x:v>
      </x:c>
      <x:c r="D94" t="n">
        <x:v>42</x:v>
      </x:c>
      <x:c r="E94" s="40" t="n">
        <x:v>2.5854961381122328</x:v>
      </x:c>
      <x:c r="F94" s="40" t="n">
        <x:v>141.66864061641976</x:v>
      </x:c>
      <x:c r="G94" s="87" t="n">
        <x:v>0.4755244755244755</x:v>
      </x:c>
      <x:c r="H94" s="88" t="b">
        <x:v>1</x:v>
      </x:c>
      <x:c r="I94" s="87" t="n">
        <x:v>0.6231010368941403</x:v>
      </x:c>
      <x:c r="J94" s="17" t="b">
        <x:v>0</x:v>
      </x:c>
    </x:row>
    <x:row r="95">
      <x:c r="A95" t="str">
        <x:v>SPVI</x:v>
      </x:c>
      <x:c r="B95" t="str">
        <x:v>Hindbrain</x:v>
      </x:c>
      <x:c r="C95" t="n">
        <x:v>15</x:v>
      </x:c>
      <x:c r="D95" t="n">
        <x:v>321</x:v>
      </x:c>
      <x:c r="E95" s="40" t="n">
        <x:v>2.706523695522406</x:v>
      </x:c>
      <x:c r="F95" s="40" t="n">
        <x:v>119.8690672730526</x:v>
      </x:c>
      <x:c r="G95" s="87" t="n">
        <x:v>0.0379620379620379</x:v>
      </x:c>
      <x:c r="H95" s="88" t="b">
        <x:v>1</x:v>
      </x:c>
      <x:c r="I95" s="87" t="n">
        <x:v>0.095263227338699</x:v>
      </x:c>
      <x:c r="J95" s="17" t="b">
        <x:v>0</x:v>
      </x:c>
    </x:row>
    <x:row r="96">
      <x:c r="A96" t="str">
        <x:v>SPVO</x:v>
      </x:c>
      <x:c r="B96" t="str">
        <x:v>Hindbrain</x:v>
      </x:c>
      <x:c r="C96" t="n">
        <x:v>8</x:v>
      </x:c>
      <x:c r="D96" t="n">
        <x:v>129</x:v>
      </x:c>
      <x:c r="E96" s="40" t="n">
        <x:v>5.188268738554086</x:v>
      </x:c>
      <x:c r="F96" s="40" t="n">
        <x:v>122.3466300960958</x:v>
      </x:c>
      <x:c r="G96" s="87" t="n">
        <x:v>0.0279720279720279</x:v>
      </x:c>
      <x:c r="H96" s="88" t="b">
        <x:v>1</x:v>
      </x:c>
      <x:c r="I96" s="87" t="n">
        <x:v>0.0759240759240759</x:v>
      </x:c>
      <x:c r="J96" s="17" t="b">
        <x:v>0</x:v>
      </x:c>
    </x:row>
    <x:row r="97">
      <x:c r="A97" t="str">
        <x:v>SUT</x:v>
      </x:c>
      <x:c r="B97" t="str">
        <x:v>Hindbrain</x:v>
      </x:c>
      <x:c r="C97" t="n">
        <x:v>12</x:v>
      </x:c>
      <x:c r="D97" t="n">
        <x:v>103</x:v>
      </x:c>
      <x:c r="E97" s="40" t="n">
        <x:v>5.225390154795832</x:v>
      </x:c>
      <x:c r="F97" s="40" t="n">
        <x:v>91.52659359477954</x:v>
      </x:c>
      <x:c r="G97" s="87" t="n">
        <x:v>0.0039960039960039</x:v>
      </x:c>
      <x:c r="H97" s="88" t="b">
        <x:v>1</x:v>
      </x:c>
      <x:c r="I97" s="87" t="n">
        <x:v>0.0189810189810189</x:v>
      </x:c>
      <x:c r="J97" s="17" t="b">
        <x:v>0</x:v>
      </x:c>
    </x:row>
    <x:row r="98">
      <x:c r="A98" t="str">
        <x:v>SUV</x:v>
      </x:c>
      <x:c r="B98" t="str">
        <x:v>Hindbrain</x:v>
      </x:c>
      <x:c r="C98" t="n">
        <x:v>13</x:v>
      </x:c>
      <x:c r="D98" t="n">
        <x:v>277</x:v>
      </x:c>
      <x:c r="E98" s="40" t="n">
        <x:v>12.337419833122798</x:v>
      </x:c>
      <x:c r="F98" s="40" t="n">
        <x:v>122.23502169859896</x:v>
      </x:c>
      <x:c r="G98" s="87" t="n">
        <x:v>0.0099900099900099</x:v>
      </x:c>
      <x:c r="H98" s="88" t="b">
        <x:v>1</x:v>
      </x:c>
      <x:c r="I98" s="87" t="n">
        <x:v>0.0385122124252559</x:v>
      </x:c>
      <x:c r="J98" s="17" t="b">
        <x:v>0</x:v>
      </x:c>
    </x:row>
    <x:row r="99">
      <x:c r="A99" t="str">
        <x:v>TRN</x:v>
      </x:c>
      <x:c r="B99" t="str">
        <x:v>Hindbrain</x:v>
      </x:c>
      <x:c r="C99" t="n">
        <x:v>10</x:v>
      </x:c>
      <x:c r="D99" t="n">
        <x:v>193</x:v>
      </x:c>
      <x:c r="E99" s="40" t="n">
        <x:v>10.764461353099348</x:v>
      </x:c>
      <x:c r="F99" s="40" t="n">
        <x:v>106.67807200169092</x:v>
      </x:c>
      <x:c r="G99" s="87" t="n">
        <x:v>0.0009990009990009</x:v>
      </x:c>
      <x:c r="H99" s="88" t="b">
        <x:v>1</x:v>
      </x:c>
      <x:c r="I99" s="87" t="n">
        <x:v>0.0066433566433566</x:v>
      </x:c>
      <x:c r="J99" s="17" t="b">
        <x:v>1</x:v>
      </x:c>
    </x:row>
    <x:row r="100">
      <x:c r="A100" t="str">
        <x:v>V</x:v>
      </x:c>
      <x:c r="B100" t="str">
        <x:v>Hindbrain</x:v>
      </x:c>
      <x:c r="C100" t="n">
        <x:v>9</x:v>
      </x:c>
      <x:c r="D100" t="n">
        <x:v>166</x:v>
      </x:c>
      <x:c r="E100" s="40" t="n">
        <x:v>11.057753750421458</x:v>
      </x:c>
      <x:c r="F100" s="40" t="n">
        <x:v>104.63417774740148</x:v>
      </x:c>
      <x:c r="G100" s="87" t="n">
        <x:v>0.0009990009990009</x:v>
      </x:c>
      <x:c r="H100" s="88" t="b">
        <x:v>1</x:v>
      </x:c>
      <x:c r="I100" s="87" t="n">
        <x:v>0.0066433566433566</x:v>
      </x:c>
      <x:c r="J100" s="17" t="b">
        <x:v>1</x:v>
      </x:c>
    </x:row>
    <x:row r="101">
      <x:c r="A101" t="str">
        <x:v>VCO</x:v>
      </x:c>
      <x:c r="B101" t="str">
        <x:v>Hindbrain</x:v>
      </x:c>
      <x:c r="C101" t="n">
        <x:v>5</x:v>
      </x:c>
      <x:c r="D101" t="n">
        <x:v>141</x:v>
      </x:c>
      <x:c r="E101" s="40" t="n">
        <x:v>4.0114258992138545</x:v>
      </x:c>
      <x:c r="F101" s="40" t="n">
        <x:v>117.10055405470855</x:v>
      </x:c>
      <x:c r="G101" s="87" t="n">
        <x:v>0.0029970029970029</x:v>
      </x:c>
      <x:c r="H101" s="88" t="b">
        <x:v>1</x:v>
      </x:c>
      <x:c r="I101" s="87" t="n">
        <x:v>0.0150415622113735</x:v>
      </x:c>
      <x:c r="J101" s="17" t="b">
        <x:v>0</x:v>
      </x:c>
    </x:row>
    <x:row r="102">
      <x:c r="A102" t="str">
        <x:v>VII</x:v>
      </x:c>
      <x:c r="B102" t="str">
        <x:v>Hindbrain</x:v>
      </x:c>
      <x:c r="C102" t="n">
        <x:v>6</x:v>
      </x:c>
      <x:c r="D102" t="n">
        <x:v>63</x:v>
      </x:c>
      <x:c r="E102" s="40" t="n">
        <x:v>11.939411569620736</x:v>
      </x:c>
      <x:c r="F102" s="40" t="n">
        <x:v>122.36703146646023</x:v>
      </x:c>
      <x:c r="G102" s="87" t="n">
        <x:v>0.0009990009990009</x:v>
      </x:c>
      <x:c r="H102" s="88" t="b">
        <x:v>1</x:v>
      </x:c>
      <x:c r="I102" s="87" t="n">
        <x:v>0.0066433566433566</x:v>
      </x:c>
      <x:c r="J102" s="17" t="b">
        <x:v>1</x:v>
      </x:c>
    </x:row>
    <x:row r="103">
      <x:c r="A103" t="str">
        <x:v>XII</x:v>
      </x:c>
      <x:c r="B103" t="str">
        <x:v>Hindbrain</x:v>
      </x:c>
      <x:c r="C103" t="n">
        <x:v>2</x:v>
      </x:c>
      <x:c r="D103" t="n">
        <x:v>12</x:v>
      </x:c>
      <x:c r="E103" s="40" t="n">
        <x:v>2.134446830616489</x:v>
      </x:c>
      <x:c r="F103" s="40" t="n">
        <x:v>132.21611456764305</x:v>
      </x:c>
      <x:c r="G103" s="87" t="n">
        <x:v>0.8401598401598401</x:v>
      </x:c>
      <x:c r="H103" s="88" t="b">
        <x:v>0</x:v>
      </x:c>
      <x:c r="I103" s="87" t="n">
        <x:v>0.9084655182216156</x:v>
      </x:c>
      <x:c r="J103" s="17" t="b">
        <x:v>0</x:v>
      </x:c>
    </x:row>
    <x:row r="104">
      <x:c r="A104" t="str">
        <x:v>x</x:v>
      </x:c>
      <x:c r="B104" t="str">
        <x:v>Hindbrain</x:v>
      </x:c>
      <x:c r="C104" t="n">
        <x:v>4</x:v>
      </x:c>
      <x:c r="D104" t="n">
        <x:v>45</x:v>
      </x:c>
      <x:c r="E104" s="40" t="n">
        <x:v>2.519077779632976</x:v>
      </x:c>
      <x:c r="F104" s="40" t="n">
        <x:v>5</x:v>
      </x:c>
      <x:c r="G104" s="87" t="n">
        <x:v>0.5844155844155844</x:v>
      </x:c>
      <x:c r="H104" s="88" t="b">
        <x:v>1</x:v>
      </x:c>
      <x:c r="I104" s="87" t="n">
        <x:v>0.7002457002457002</x:v>
      </x:c>
      <x:c r="J104" s="17" t="b">
        <x:v>0</x:v>
      </x:c>
    </x:row>
    <x:row r="105">
      <x:c r="A105" t="str">
        <x:v>y</x:v>
      </x:c>
      <x:c r="B105" t="str">
        <x:v>Hindbrain</x:v>
      </x:c>
      <x:c r="C105" t="n">
        <x:v>1</x:v>
      </x:c>
      <x:c r="D105" t="n">
        <x:v>6</x:v>
      </x:c>
      <x:c r="E105" s="40" t="n">
        <x:v>6.950242585061227</x:v>
      </x:c>
      <x:c r="F105" s="40" t="n">
        <x:v>31.891374348803097</x:v>
      </x:c>
      <x:c r="G105" s="87" t="n">
        <x:v>0.3946053946053946</x:v>
      </x:c>
      <x:c r="H105" s="88" t="b">
        <x:v>0</x:v>
      </x:c>
      <x:c r="I105" s="87" t="n">
        <x:v>0.538282230589923</x:v>
      </x:c>
      <x:c r="J105" s="17" t="b">
        <x:v>0</x:v>
      </x:c>
    </x:row>
    <x:row r="106">
      <x:c r="A106" t="str">
        <x:v>APr</x:v>
      </x:c>
      <x:c r="B106" t="str">
        <x:v>Hippocampal formation</x:v>
      </x:c>
      <x:c r="C106" t="n">
        <x:v>5</x:v>
      </x:c>
      <x:c r="D106" t="n">
        <x:v>16</x:v>
      </x:c>
      <x:c r="E106" s="40" t="n">
        <x:v>3.958589547929386</x:v>
      </x:c>
      <x:c r="F106" s="40" t="n">
        <x:v>110.50805355814704</x:v>
      </x:c>
      <x:c r="G106" s="87" t="n">
        <x:v>0.5844155844155844</x:v>
      </x:c>
      <x:c r="H106" s="88" t="b">
        <x:v>0</x:v>
      </x:c>
      <x:c r="I106" s="87" t="n">
        <x:v>0.7002457002457002</x:v>
      </x:c>
      <x:c r="J106" s="17" t="b">
        <x:v>0</x:v>
      </x:c>
    </x:row>
    <x:row r="107">
      <x:c r="A107" t="str">
        <x:v>CA1</x:v>
      </x:c>
      <x:c r="B107" t="str">
        <x:v>Hippocampal formation</x:v>
      </x:c>
      <x:c r="C107" t="n">
        <x:v>154</x:v>
      </x:c>
      <x:c r="D107" t="n">
        <x:v>1807</x:v>
      </x:c>
      <x:c r="E107" s="40" t="n">
        <x:v>1.3405702491977252</x:v>
      </x:c>
      <x:c r="F107" s="40" t="n">
        <x:v>131.82426525047788</x:v>
      </x:c>
      <x:c r="G107" s="87" t="n">
        <x:v>0.0009990009990009</x:v>
      </x:c>
      <x:c r="H107" s="88" t="b">
        <x:v>1</x:v>
      </x:c>
      <x:c r="I107" s="87" t="n">
        <x:v>0.0066433566433566</x:v>
      </x:c>
      <x:c r="J107" s="17" t="b">
        <x:v>1</x:v>
      </x:c>
    </x:row>
    <x:row r="108">
      <x:c r="A108" t="str">
        <x:v>CA2</x:v>
      </x:c>
      <x:c r="B108" t="str">
        <x:v>Hippocampal formation</x:v>
      </x:c>
      <x:c r="C108" t="n">
        <x:v>18</x:v>
      </x:c>
      <x:c r="D108" t="n">
        <x:v>39</x:v>
      </x:c>
      <x:c r="E108" s="40" t="n">
        <x:v>2.9489475792253774</x:v>
      </x:c>
      <x:c r="F108" s="40" t="n">
        <x:v>113.1119724828064</x:v>
      </x:c>
      <x:c r="G108" s="87" t="n">
        <x:v>0.7652347652347652</x:v>
      </x:c>
      <x:c r="H108" s="88" t="b">
        <x:v>1</x:v>
      </x:c>
      <x:c r="I108" s="87" t="n">
        <x:v>0.8446159649479151</x:v>
      </x:c>
      <x:c r="J108" s="17" t="b">
        <x:v>0</x:v>
      </x:c>
    </x:row>
    <x:row r="109">
      <x:c r="A109" t="str">
        <x:v>CA3</x:v>
      </x:c>
      <x:c r="B109" t="str">
        <x:v>Hippocampal formation</x:v>
      </x:c>
      <x:c r="C109" t="n">
        <x:v>79</x:v>
      </x:c>
      <x:c r="D109" t="n">
        <x:v>950</x:v>
      </x:c>
      <x:c r="E109" s="40" t="n">
        <x:v>1.8448070669812895</x:v>
      </x:c>
      <x:c r="F109" s="40" t="n">
        <x:v>108.05216986898915</x:v>
      </x:c>
      <x:c r="G109" s="87" t="n">
        <x:v>0.0839160839160839</x:v>
      </x:c>
      <x:c r="H109" s="88" t="b">
        <x:v>1</x:v>
      </x:c>
      <x:c r="I109" s="87" t="n">
        <x:v>0.1800135348522445</x:v>
      </x:c>
      <x:c r="J109" s="17" t="b">
        <x:v>0</x:v>
      </x:c>
    </x:row>
    <x:row r="110">
      <x:c r="A110" t="str">
        <x:v>DG</x:v>
      </x:c>
      <x:c r="B110" t="str">
        <x:v>Hippocampal formation</x:v>
      </x:c>
      <x:c r="C110" t="n">
        <x:v>134</x:v>
      </x:c>
      <x:c r="D110" t="n">
        <x:v>1137</x:v>
      </x:c>
      <x:c r="E110" s="40" t="n">
        <x:v>1.2581706031502398</x:v>
      </x:c>
      <x:c r="F110" s="40" t="n">
        <x:v>127.2398515607336</x:v>
      </x:c>
      <x:c r="G110" s="87" t="n">
        <x:v>0.0109890109890109</x:v>
      </x:c>
      <x:c r="H110" s="88" t="b">
        <x:v>1</x:v>
      </x:c>
      <x:c r="I110" s="87" t="n">
        <x:v>0.0405982905982906</x:v>
      </x:c>
      <x:c r="J110" s="17" t="b">
        <x:v>0</x:v>
      </x:c>
    </x:row>
    <x:row r="111">
      <x:c r="A111" t="str">
        <x:v>ENTl</x:v>
      </x:c>
      <x:c r="B111" t="str">
        <x:v>Hippocampal formation</x:v>
      </x:c>
      <x:c r="C111" t="n">
        <x:v>20</x:v>
      </x:c>
      <x:c r="D111" t="n">
        <x:v>585</x:v>
      </x:c>
      <x:c r="E111" s="40" t="n">
        <x:v>1.13335186013416</x:v>
      </x:c>
      <x:c r="F111" s="40" t="n">
        <x:v>110.86081613562004</x:v>
      </x:c>
      <x:c r="G111" s="87" t="n">
        <x:v>0.1098901098901098</x:v>
      </x:c>
      <x:c r="H111" s="88" t="b">
        <x:v>1</x:v>
      </x:c>
      <x:c r="I111" s="87" t="n">
        <x:v>0.2118171683389074</x:v>
      </x:c>
      <x:c r="J111" s="17" t="b">
        <x:v>0</x:v>
      </x:c>
    </x:row>
    <x:row r="112">
      <x:c r="A112" t="str">
        <x:v>ENTm</x:v>
      </x:c>
      <x:c r="B112" t="str">
        <x:v>Hippocampal formation</x:v>
      </x:c>
      <x:c r="C112" t="n">
        <x:v>16</x:v>
      </x:c>
      <x:c r="D112" t="n">
        <x:v>639</x:v>
      </x:c>
      <x:c r="E112" s="40" t="n">
        <x:v>1.7038066398293288</x:v>
      </x:c>
      <x:c r="F112" s="40" t="n">
        <x:v>126.41341481156496</x:v>
      </x:c>
      <x:c r="G112" s="87" t="n">
        <x:v>0.1058941058941058</x:v>
      </x:c>
      <x:c r="H112" s="88" t="b">
        <x:v>1</x:v>
      </x:c>
      <x:c r="I112" s="87" t="n">
        <x:v>0.2071164129987659</x:v>
      </x:c>
      <x:c r="J112" s="17" t="b">
        <x:v>0</x:v>
      </x:c>
    </x:row>
    <x:row r="113">
      <x:c r="A113" t="str">
        <x:v>FC</x:v>
      </x:c>
      <x:c r="B113" t="str">
        <x:v>Hippocampal formation</x:v>
      </x:c>
      <x:c r="C113" t="n">
        <x:v>4</x:v>
      </x:c>
      <x:c r="D113" t="n">
        <x:v>23</x:v>
      </x:c>
      <x:c r="E113" s="40" t="n">
        <x:v>4.402992188208188</x:v>
      </x:c>
      <x:c r="F113" s="40" t="n">
        <x:v>130.81042136830143</x:v>
      </x:c>
      <x:c r="G113" s="87" t="n">
        <x:v>0.0459540459540459</x:v>
      </x:c>
      <x:c r="H113" s="88" t="b">
        <x:v>1</x:v>
      </x:c>
      <x:c r="I113" s="87" t="n">
        <x:v>0.1072261072261072</x:v>
      </x:c>
      <x:c r="J113" s="17" t="b">
        <x:v>0</x:v>
      </x:c>
    </x:row>
    <x:row r="114">
      <x:c r="A114" t="str">
        <x:v>HATA</x:v>
      </x:c>
      <x:c r="B114" t="str">
        <x:v>Hippocampal formation</x:v>
      </x:c>
      <x:c r="C114" t="n">
        <x:v>6</x:v>
      </x:c>
      <x:c r="D114" t="n">
        <x:v>59</x:v>
      </x:c>
      <x:c r="E114" s="40" t="n">
        <x:v>2.5872454509973526</x:v>
      </x:c>
      <x:c r="F114" s="40" t="n">
        <x:v>5</x:v>
      </x:c>
      <x:c r="G114" s="87" t="n">
        <x:v>0.8811188811188811</x:v>
      </x:c>
      <x:c r="H114" s="88" t="b">
        <x:v>1</x:v>
      </x:c>
      <x:c r="I114" s="87" t="n">
        <x:v>0.9305950966030018</x:v>
      </x:c>
      <x:c r="J114" s="17" t="b">
        <x:v>0</x:v>
      </x:c>
    </x:row>
    <x:row r="115">
      <x:c r="A115" t="str">
        <x:v>IG</x:v>
      </x:c>
      <x:c r="B115" t="str">
        <x:v>Hippocampal formation</x:v>
      </x:c>
      <x:c r="C115" t="n">
        <x:v>3</x:v>
      </x:c>
      <x:c r="D115" t="n">
        <x:v>9</x:v>
      </x:c>
      <x:c r="E115" s="40" t="n">
        <x:v>2.259117194209294</x:v>
      </x:c>
      <x:c r="F115" s="40" t="n">
        <x:v>11.531774021499237</x:v>
      </x:c>
      <x:c r="G115" s="87" t="n">
        <x:v>0.6113886113886113</x:v>
      </x:c>
      <x:c r="H115" s="88" t="b">
        <x:v>0</x:v>
      </x:c>
      <x:c r="I115" s="87" t="n">
        <x:v>0.7272102897102898</x:v>
      </x:c>
      <x:c r="J115" s="17" t="b">
        <x:v>0</x:v>
      </x:c>
    </x:row>
    <x:row r="116">
      <x:c r="A116" t="str">
        <x:v>PAR</x:v>
      </x:c>
      <x:c r="B116" t="str">
        <x:v>Hippocampal formation</x:v>
      </x:c>
      <x:c r="C116" t="n">
        <x:v>9</x:v>
      </x:c>
      <x:c r="D116" t="n">
        <x:v>117</x:v>
      </x:c>
      <x:c r="E116" s="40" t="n">
        <x:v>6.172516787010606</x:v>
      </x:c>
      <x:c r="F116" s="40" t="n">
        <x:v>107.49791577186164</x:v>
      </x:c>
      <x:c r="G116" s="87" t="n">
        <x:v>0.1618381618381618</x:v>
      </x:c>
      <x:c r="H116" s="88" t="b">
        <x:v>1</x:v>
      </x:c>
      <x:c r="I116" s="87" t="n">
        <x:v>0.2948558291024044</x:v>
      </x:c>
      <x:c r="J116" s="17" t="b">
        <x:v>0</x:v>
      </x:c>
    </x:row>
    <x:row r="117">
      <x:c r="A117" t="str">
        <x:v>POST</x:v>
      </x:c>
      <x:c r="B117" t="str">
        <x:v>Hippocampal formation</x:v>
      </x:c>
      <x:c r="C117" t="n">
        <x:v>19</x:v>
      </x:c>
      <x:c r="D117" t="n">
        <x:v>233</x:v>
      </x:c>
      <x:c r="E117" s="40" t="n">
        <x:v>4.715797797014453</x:v>
      </x:c>
      <x:c r="F117" s="40" t="n">
        <x:v>124.7470688813912</x:v>
      </x:c>
      <x:c r="G117" s="87" t="n">
        <x:v>0.0079920079920079</x:v>
      </x:c>
      <x:c r="H117" s="88" t="b">
        <x:v>1</x:v>
      </x:c>
      <x:c r="I117" s="87" t="n">
        <x:v>0.0327057557826788</x:v>
      </x:c>
      <x:c r="J117" s="17" t="b">
        <x:v>0</x:v>
      </x:c>
    </x:row>
    <x:row r="118">
      <x:c r="A118" t="str">
        <x:v>PRE</x:v>
      </x:c>
      <x:c r="B118" t="str">
        <x:v>Hippocampal formation</x:v>
      </x:c>
      <x:c r="C118" t="n">
        <x:v>7</x:v>
      </x:c>
      <x:c r="D118" t="n">
        <x:v>115</x:v>
      </x:c>
      <x:c r="E118" s="40" t="n">
        <x:v>2.9842280037692723</x:v>
      </x:c>
      <x:c r="F118" s="40" t="n">
        <x:v>100.47578646749707</x:v>
      </x:c>
      <x:c r="G118" s="87" t="n">
        <x:v>0.0849150849150849</x:v>
      </x:c>
      <x:c r="H118" s="88" t="b">
        <x:v>1</x:v>
      </x:c>
      <x:c r="I118" s="87" t="n">
        <x:v>0.1806993006993006</x:v>
      </x:c>
      <x:c r="J118" s="17" t="b">
        <x:v>0</x:v>
      </x:c>
    </x:row>
    <x:row r="119">
      <x:c r="A119" t="str">
        <x:v>ProS</x:v>
      </x:c>
      <x:c r="B119" t="str">
        <x:v>Hippocampal formation</x:v>
      </x:c>
      <x:c r="C119" t="n">
        <x:v>22</x:v>
      </x:c>
      <x:c r="D119" t="n">
        <x:v>378</x:v>
      </x:c>
      <x:c r="E119" s="40" t="n">
        <x:v>1.493184801548598</x:v>
      </x:c>
      <x:c r="F119" s="40" t="n">
        <x:v>32.567399444380364</x:v>
      </x:c>
      <x:c r="G119" s="87" t="n">
        <x:v>0.5694305694305695</x:v>
      </x:c>
      <x:c r="H119" s="88" t="b">
        <x:v>1</x:v>
      </x:c>
      <x:c r="I119" s="87" t="n">
        <x:v>0.6940639269406392</x:v>
      </x:c>
      <x:c r="J119" s="17" t="b">
        <x:v>0</x:v>
      </x:c>
    </x:row>
    <x:row r="120">
      <x:c r="A120" t="str">
        <x:v>SUB</x:v>
      </x:c>
      <x:c r="B120" t="str">
        <x:v>Hippocampal formation</x:v>
      </x:c>
      <x:c r="C120" t="n">
        <x:v>37</x:v>
      </x:c>
      <x:c r="D120" t="n">
        <x:v>914</x:v>
      </x:c>
      <x:c r="E120" s="40" t="n">
        <x:v>1.1686955552504736</x:v>
      </x:c>
      <x:c r="F120" s="40" t="n">
        <x:v>121.14492150345129</x:v>
      </x:c>
      <x:c r="G120" s="87" t="n">
        <x:v>0.0629370629370629</x:v>
      </x:c>
      <x:c r="H120" s="88" t="b">
        <x:v>1</x:v>
      </x:c>
      <x:c r="I120" s="87" t="n">
        <x:v>0.1383575102583367</x:v>
      </x:c>
      <x:c r="J120" s="17" t="b">
        <x:v>0</x:v>
      </x:c>
    </x:row>
    <x:row r="121">
      <x:c r="A121" t="str">
        <x:v>ADP</x:v>
      </x:c>
      <x:c r="B121" t="str">
        <x:v>Hypothalamus</x:v>
      </x:c>
      <x:c r="C121" t="n">
        <x:v>1</x:v>
      </x:c>
      <x:c r="D121" t="n">
        <x:v>5</x:v>
      </x:c>
      <x:c r="E121" s="40" t="n">
        <x:v>3.396451125106343</x:v>
      </x:c>
      <x:c r="F121" s="40" t="n">
        <x:v>20.46363977298118</x:v>
      </x:c>
      <x:c r="G121" s="87" t="n">
        <x:v>0.978021978021978</x:v>
      </x:c>
      <x:c r="H121" s="88" t="b">
        <x:v>0</x:v>
      </x:c>
      <x:c r="I121" s="87" t="n">
        <x:v>0.9817126269956458</x:v>
      </x:c>
      <x:c r="J121" s="17" t="b">
        <x:v>0</x:v>
      </x:c>
    </x:row>
    <x:row r="122">
      <x:c r="A122" t="str">
        <x:v>AHN</x:v>
      </x:c>
      <x:c r="B122" t="str">
        <x:v>Hypothalamus</x:v>
      </x:c>
      <x:c r="C122" t="n">
        <x:v>3</x:v>
      </x:c>
      <x:c r="D122" t="n">
        <x:v>10</x:v>
      </x:c>
      <x:c r="E122" s="40" t="n">
        <x:v>3.1976814789906784</x:v>
      </x:c>
      <x:c r="F122" s="40" t="n">
        <x:v>5</x:v>
      </x:c>
      <x:c r="G122" s="87" t="n">
        <x:v>0.6213786213786214</x:v>
      </x:c>
      <x:c r="H122" s="88" t="b">
        <x:v>0</x:v>
      </x:c>
      <x:c r="I122" s="87" t="n">
        <x:v>0.7313571384367845</x:v>
      </x:c>
      <x:c r="J122" s="17" t="b">
        <x:v>0</x:v>
      </x:c>
    </x:row>
    <x:row r="123">
      <x:c r="A123" t="str">
        <x:v>AVP</x:v>
      </x:c>
      <x:c r="B123" t="str">
        <x:v>Hypothalamus</x:v>
      </x:c>
      <x:c r="C123" t="n">
        <x:v>3</x:v>
      </x:c>
      <x:c r="D123" t="n">
        <x:v>15</x:v>
      </x:c>
      <x:c r="E123" s="40" t="n">
        <x:v>2.5437205612908045</x:v>
      </x:c>
      <x:c r="F123" s="40" t="n">
        <x:v>24.98751557068953</x:v>
      </x:c>
      <x:c r="G123" s="87" t="n">
        <x:v>0.8301698301698301</x:v>
      </x:c>
      <x:c r="H123" s="88" t="b">
        <x:v>0</x:v>
      </x:c>
      <x:c r="I123" s="87" t="n">
        <x:v>0.901327244184387</x:v>
      </x:c>
      <x:c r="J123" s="17" t="b">
        <x:v>0</x:v>
      </x:c>
    </x:row>
    <x:row r="124">
      <x:c r="A124" t="str">
        <x:v>DMH</x:v>
      </x:c>
      <x:c r="B124" t="str">
        <x:v>Hypothalamus</x:v>
      </x:c>
      <x:c r="C124" t="n">
        <x:v>2</x:v>
      </x:c>
      <x:c r="D124" t="n">
        <x:v>16</x:v>
      </x:c>
      <x:c r="E124" s="40" t="n">
        <x:v>2.269655022256595</x:v>
      </x:c>
      <x:c r="F124" s="40" t="n">
        <x:v>40.899229607562575</x:v>
      </x:c>
      <x:c r="G124" s="87" t="n">
        <x:v>0.2937062937062937</x:v>
      </x:c>
      <x:c r="H124" s="88" t="b">
        <x:v>0</x:v>
      </x:c>
      <x:c r="I124" s="87" t="n">
        <x:v>0.4489992765854834</x:v>
      </x:c>
      <x:c r="J124" s="17" t="b">
        <x:v>0</x:v>
      </x:c>
    </x:row>
    <x:row r="125">
      <x:c r="A125" t="str">
        <x:v>LHA</x:v>
      </x:c>
      <x:c r="B125" t="str">
        <x:v>Hypothalamus</x:v>
      </x:c>
      <x:c r="C125" t="n">
        <x:v>14</x:v>
      </x:c>
      <x:c r="D125" t="n">
        <x:v>166</x:v>
      </x:c>
      <x:c r="E125" s="40" t="n">
        <x:v>1.5845758996129131</x:v>
      </x:c>
      <x:c r="F125" s="40" t="n">
        <x:v>83.88684224695814</x:v>
      </x:c>
      <x:c r="G125" s="87" t="n">
        <x:v>0.0339660339660339</x:v>
      </x:c>
      <x:c r="H125" s="88" t="b">
        <x:v>1</x:v>
      </x:c>
      <x:c r="I125" s="87" t="n">
        <x:v>0.0877181071355828</x:v>
      </x:c>
      <x:c r="J125" s="17" t="b">
        <x:v>0</x:v>
      </x:c>
    </x:row>
    <x:row r="126">
      <x:c r="A126" t="str">
        <x:v>LM</x:v>
      </x:c>
      <x:c r="B126" t="str">
        <x:v>Hypothalamus</x:v>
      </x:c>
      <x:c r="C126" t="n">
        <x:v>1</x:v>
      </x:c>
      <x:c r="D126" t="n">
        <x:v>8</x:v>
      </x:c>
      <x:c r="E126" s="40" t="n">
        <x:v>3.718655898387942</x:v>
      </x:c>
      <x:c r="F126" s="40" t="n">
        <x:v>140.54567911367252</x:v>
      </x:c>
      <x:c r="G126" s="87" t="n">
        <x:v>0.4415584415584415</x:v>
      </x:c>
      <x:c r="H126" s="88" t="b">
        <x:v>0</x:v>
      </x:c>
      <x:c r="I126" s="87" t="n">
        <x:v>0.5843509724106739</x:v>
      </x:c>
      <x:c r="J126" s="17" t="b">
        <x:v>0</x:v>
      </x:c>
    </x:row>
    <x:row r="127">
      <x:c r="A127" t="str">
        <x:v>LPO</x:v>
      </x:c>
      <x:c r="B127" t="str">
        <x:v>Hypothalamus</x:v>
      </x:c>
      <x:c r="C127" t="n">
        <x:v>3</x:v>
      </x:c>
      <x:c r="D127" t="n">
        <x:v>89</x:v>
      </x:c>
      <x:c r="E127" s="40" t="n">
        <x:v>5.260434881724216</x:v>
      </x:c>
      <x:c r="F127" s="40" t="n">
        <x:v>127.3629277836223</x:v>
      </x:c>
      <x:c r="G127" s="87" t="n">
        <x:v>0.0029970029970029</x:v>
      </x:c>
      <x:c r="H127" s="88" t="b">
        <x:v>1</x:v>
      </x:c>
      <x:c r="I127" s="87" t="n">
        <x:v>0.0150415622113735</x:v>
      </x:c>
      <x:c r="J127" s="17" t="b">
        <x:v>0</x:v>
      </x:c>
    </x:row>
    <x:row r="128">
      <x:c r="A128" t="str">
        <x:v>MEPO</x:v>
      </x:c>
      <x:c r="B128" t="str">
        <x:v>Hypothalamus</x:v>
      </x:c>
      <x:c r="C128" t="n">
        <x:v>1</x:v>
      </x:c>
      <x:c r="D128" t="n">
        <x:v>5</x:v>
      </x:c>
      <x:c r="E128" s="40" t="n">
        <x:v>4.005958814844961</x:v>
      </x:c>
      <x:c r="F128" s="40" t="n">
        <x:v>17.73612030933397</x:v>
      </x:c>
      <x:c r="G128" s="87" t="n">
        <x:v>0.1038961038961039</x:v>
      </x:c>
      <x:c r="H128" s="88" t="b">
        <x:v>0</x:v>
      </x:c>
      <x:c r="I128" s="87" t="n">
        <x:v>0.2071164129987659</x:v>
      </x:c>
      <x:c r="J128" s="17" t="b">
        <x:v>0</x:v>
      </x:c>
    </x:row>
    <x:row r="129">
      <x:c r="A129" t="str">
        <x:v>MM</x:v>
      </x:c>
      <x:c r="B129" t="str">
        <x:v>Hypothalamus</x:v>
      </x:c>
      <x:c r="C129" t="n">
        <x:v>1</x:v>
      </x:c>
      <x:c r="D129" t="n">
        <x:v>5</x:v>
      </x:c>
      <x:c r="E129" s="40" t="n">
        <x:v>8.46957478254679</x:v>
      </x:c>
      <x:c r="F129" s="40" t="n">
        <x:v>11.494125289275257</x:v>
      </x:c>
      <x:c r="G129" s="87" t="n">
        <x:v>0.0179820179820179</x:v>
      </x:c>
      <x:c r="H129" s="88" t="b">
        <x:v>0</x:v>
      </x:c>
      <x:c r="I129" s="87" t="n">
        <x:v>0.0583319119904485</x:v>
      </x:c>
      <x:c r="J129" s="17" t="b">
        <x:v>0</x:v>
      </x:c>
    </x:row>
    <x:row r="130">
      <x:c r="A130" t="str">
        <x:v>MPN</x:v>
      </x:c>
      <x:c r="B130" t="str">
        <x:v>Hypothalamus</x:v>
      </x:c>
      <x:c r="C130" t="n">
        <x:v>1</x:v>
      </x:c>
      <x:c r="D130" t="n">
        <x:v>2</x:v>
      </x:c>
      <x:c r="E130" s="40" t="n">
        <x:v>2.2717460048260367</x:v>
      </x:c>
      <x:c r="F130" s="40" t="n">
        <x:v>14.397045850791724</x:v>
      </x:c>
      <x:c r="G130" s="87" t="n">
        <x:v>0.5714285714285714</x:v>
      </x:c>
      <x:c r="H130" s="88" t="b">
        <x:v>0</x:v>
      </x:c>
      <x:c r="I130" s="87" t="n">
        <x:v>0.6940639269406392</x:v>
      </x:c>
      <x:c r="J130" s="17" t="b">
        <x:v>0</x:v>
      </x:c>
    </x:row>
    <x:row r="131">
      <x:c r="A131" t="str">
        <x:v>MPO</x:v>
      </x:c>
      <x:c r="B131" t="str">
        <x:v>Hypothalamus</x:v>
      </x:c>
      <x:c r="C131" t="n">
        <x:v>4</x:v>
      </x:c>
      <x:c r="D131" t="n">
        <x:v>40</x:v>
      </x:c>
      <x:c r="E131" s="40" t="n">
        <x:v>2.2212388089716413</x:v>
      </x:c>
      <x:c r="F131" s="40" t="n">
        <x:v>21.807977116030067</x:v>
      </x:c>
      <x:c r="G131" s="87" t="n">
        <x:v>0.0149850149850149</x:v>
      </x:c>
      <x:c r="H131" s="88" t="b">
        <x:v>1</x:v>
      </x:c>
      <x:c r="I131" s="87" t="n">
        <x:v>0.0511027434104357</x:v>
      </x:c>
      <x:c r="J131" s="17" t="b">
        <x:v>0</x:v>
      </x:c>
    </x:row>
    <x:row r="132">
      <x:c r="A132" t="str">
        <x:v>PH</x:v>
      </x:c>
      <x:c r="B132" t="str">
        <x:v>Hypothalamus</x:v>
      </x:c>
      <x:c r="C132" t="n">
        <x:v>7</x:v>
      </x:c>
      <x:c r="D132" t="n">
        <x:v>24</x:v>
      </x:c>
      <x:c r="E132" s="40" t="n">
        <x:v>1.9709698781339624</x:v>
      </x:c>
      <x:c r="F132" s="40" t="n">
        <x:v>40.80993604359619</x:v>
      </x:c>
      <x:c r="G132" s="87" t="n">
        <x:v>0.4395604395604395</x:v>
      </x:c>
      <x:c r="H132" s="88" t="b">
        <x:v>1</x:v>
      </x:c>
      <x:c r="I132" s="87" t="n">
        <x:v>0.5843509724106739</x:v>
      </x:c>
      <x:c r="J132" s="17" t="b">
        <x:v>0</x:v>
      </x:c>
    </x:row>
    <x:row r="133">
      <x:c r="A133" t="str">
        <x:v>PMd</x:v>
      </x:c>
      <x:c r="B133" t="str">
        <x:v>Hypothalamus</x:v>
      </x:c>
      <x:c r="C133" t="n">
        <x:v>1</x:v>
      </x:c>
      <x:c r="D133" t="n">
        <x:v>2</x:v>
      </x:c>
      <x:c r="E133" s="40" t="n">
        <x:v>4.43829897559027</x:v>
      </x:c>
      <x:c r="F133" s="40" t="n">
        <x:v>50.64697803862132</x:v>
      </x:c>
      <x:c r="G133" s="87" t="n">
        <x:v>0.4985014985014985</x:v>
      </x:c>
      <x:c r="H133" s="88" t="b">
        <x:v>0</x:v>
      </x:c>
      <x:c r="I133" s="87" t="n">
        <x:v>0.6405864666734232</x:v>
      </x:c>
      <x:c r="J133" s="17" t="b">
        <x:v>0</x:v>
      </x:c>
    </x:row>
    <x:row r="134">
      <x:c r="A134" t="str">
        <x:v>PS</x:v>
      </x:c>
      <x:c r="B134" t="str">
        <x:v>Hypothalamus</x:v>
      </x:c>
      <x:c r="C134" t="n">
        <x:v>2</x:v>
      </x:c>
      <x:c r="D134" t="n">
        <x:v>35</x:v>
      </x:c>
      <x:c r="E134" s="40" t="n">
        <x:v>2.0808095827740343</x:v>
      </x:c>
      <x:c r="F134" s="40" t="n">
        <x:v>64.01234684080941</x:v>
      </x:c>
      <x:c r="G134" s="87" t="n">
        <x:v>0.3756243756243756</x:v>
      </x:c>
      <x:c r="H134" s="88" t="b">
        <x:v>1</x:v>
      </x:c>
      <x:c r="I134" s="87" t="n">
        <x:v>0.5258741258741259</x:v>
      </x:c>
      <x:c r="J134" s="17" t="b">
        <x:v>0</x:v>
      </x:c>
    </x:row>
    <x:row r="135">
      <x:c r="A135" t="str">
        <x:v>PSTN</x:v>
      </x:c>
      <x:c r="B135" t="str">
        <x:v>Hypothalamus</x:v>
      </x:c>
      <x:c r="C135" t="n">
        <x:v>2</x:v>
      </x:c>
      <x:c r="D135" t="n">
        <x:v>8</x:v>
      </x:c>
      <x:c r="E135" s="40" t="n">
        <x:v>5.425508182204657</x:v>
      </x:c>
      <x:c r="F135" s="40" t="n">
        <x:v>110.09912360334786</x:v>
      </x:c>
      <x:c r="G135" s="87" t="n">
        <x:v>0.0869130869130869</x:v>
      </x:c>
      <x:c r="H135" s="88" t="b">
        <x:v>0</x:v>
      </x:c>
      <x:c r="I135" s="87" t="n">
        <x:v>0.1834831834831835</x:v>
      </x:c>
      <x:c r="J135" s="17" t="b">
        <x:v>0</x:v>
      </x:c>
    </x:row>
    <x:row r="136">
      <x:c r="A136" t="str">
        <x:v>PVH</x:v>
      </x:c>
      <x:c r="B136" t="str">
        <x:v>Hypothalamus</x:v>
      </x:c>
      <x:c r="C136" t="n">
        <x:v>2</x:v>
      </x:c>
      <x:c r="D136" t="n">
        <x:v>5</x:v>
      </x:c>
      <x:c r="E136" s="40" t="n">
        <x:v>3.743057167918505</x:v>
      </x:c>
      <x:c r="F136" s="40" t="n">
        <x:v>69.72337125041388</x:v>
      </x:c>
      <x:c r="G136" s="87" t="n">
        <x:v>0.6753246753246753</x:v>
      </x:c>
      <x:c r="H136" s="88" t="b">
        <x:v>0</x:v>
      </x:c>
      <x:c r="I136" s="87" t="n">
        <x:v>0.7733548502779272</x:v>
      </x:c>
      <x:c r="J136" s="17" t="b">
        <x:v>0</x:v>
      </x:c>
    </x:row>
    <x:row r="137">
      <x:c r="A137" t="str">
        <x:v>PVHd</x:v>
      </x:c>
      <x:c r="B137" t="str">
        <x:v>Hypothalamus</x:v>
      </x:c>
      <x:c r="C137" t="n">
        <x:v>2</x:v>
      </x:c>
      <x:c r="D137" t="n">
        <x:v>6</x:v>
      </x:c>
      <x:c r="E137" s="40" t="n">
        <x:v>6.217101660331343</x:v>
      </x:c>
      <x:c r="F137" s="40" t="n">
        <x:v>51.42422174494975</x:v>
      </x:c>
      <x:c r="G137" s="87" t="n">
        <x:v>0.0619380619380619</x:v>
      </x:c>
      <x:c r="H137" s="88" t="b">
        <x:v>0</x:v>
      </x:c>
      <x:c r="I137" s="87" t="n">
        <x:v>0.1372960372960373</x:v>
      </x:c>
      <x:c r="J137" s="17" t="b">
        <x:v>0</x:v>
      </x:c>
    </x:row>
    <x:row r="138">
      <x:c r="A138" t="str">
        <x:v>PeF</x:v>
      </x:c>
      <x:c r="B138" t="str">
        <x:v>Hypothalamus</x:v>
      </x:c>
      <x:c r="C138" t="n">
        <x:v>3</x:v>
      </x:c>
      <x:c r="D138" t="n">
        <x:v>28</x:v>
      </x:c>
      <x:c r="E138" s="40" t="n">
        <x:v>4.244326575275367</x:v>
      </x:c>
      <x:c r="F138" s="40" t="n">
        <x:v>68.57174255513343</x:v>
      </x:c>
      <x:c r="G138" s="87" t="n">
        <x:v>0.0259740259740259</x:v>
      </x:c>
      <x:c r="H138" s="88" t="b">
        <x:v>1</x:v>
      </x:c>
      <x:c r="I138" s="87" t="n">
        <x:v>0.0719696969696969</x:v>
      </x:c>
      <x:c r="J138" s="17" t="b">
        <x:v>0</x:v>
      </x:c>
    </x:row>
    <x:row r="139">
      <x:c r="A139" t="str">
        <x:v>STN</x:v>
      </x:c>
      <x:c r="B139" t="str">
        <x:v>Hypothalamus</x:v>
      </x:c>
      <x:c r="C139" t="n">
        <x:v>3</x:v>
      </x:c>
      <x:c r="D139" t="n">
        <x:v>6</x:v>
      </x:c>
      <x:c r="E139" s="40" t="n">
        <x:v>22.799540732537295</x:v>
      </x:c>
      <x:c r="F139" s="40" t="n">
        <x:v>117.70386156170191</x:v>
      </x:c>
      <x:c r="G139" s="87" t="n">
        <x:v>0.0009990009990009</x:v>
      </x:c>
      <x:c r="H139" s="88" t="b">
        <x:v>0</x:v>
      </x:c>
      <x:c r="I139" s="87" t="n">
        <x:v>0.0066433566433566</x:v>
      </x:c>
      <x:c r="J139" s="17" t="b">
        <x:v>1</x:v>
      </x:c>
    </x:row>
    <x:row r="140">
      <x:c r="A140" t="str">
        <x:v>SUM</x:v>
      </x:c>
      <x:c r="B140" t="str">
        <x:v>Hypothalamus</x:v>
      </x:c>
      <x:c r="C140" t="n">
        <x:v>4</x:v>
      </x:c>
      <x:c r="D140" t="n">
        <x:v>10</x:v>
      </x:c>
      <x:c r="E140" s="40" t="n">
        <x:v>10.308257693427873</x:v>
      </x:c>
      <x:c r="F140" s="40" t="n">
        <x:v>101.25697821333296</x:v>
      </x:c>
      <x:c r="G140" s="87" t="n">
        <x:v>0.0119880119880119</x:v>
      </x:c>
      <x:c r="H140" s="88" t="b">
        <x:v>0</x:v>
      </x:c>
      <x:c r="I140" s="87" t="n">
        <x:v>0.043682345052208</x:v>
      </x:c>
      <x:c r="J140" s="17" t="b">
        <x:v>0</x:v>
      </x:c>
    </x:row>
    <x:row r="141">
      <x:c r="A141" t="str">
        <x:v>TU</x:v>
      </x:c>
      <x:c r="B141" t="str">
        <x:v>Hypothalamus</x:v>
      </x:c>
      <x:c r="C141" t="n">
        <x:v>1</x:v>
      </x:c>
      <x:c r="D141" t="n">
        <x:v>8</x:v>
      </x:c>
      <x:c r="E141" s="40" t="n">
        <x:v>2.6891261531687354</x:v>
      </x:c>
      <x:c r="F141" s="40" t="n">
        <x:v>50.96552007557389</x:v>
      </x:c>
      <x:c r="G141" s="87" t="n">
        <x:v>0.4405594405594406</x:v>
      </x:c>
      <x:c r="H141" s="88" t="b">
        <x:v>0</x:v>
      </x:c>
      <x:c r="I141" s="87" t="n">
        <x:v>0.5843509724106739</x:v>
      </x:c>
      <x:c r="J141" s="17" t="b">
        <x:v>0</x:v>
      </x:c>
    </x:row>
    <x:row r="142">
      <x:c r="A142" t="str">
        <x:v>VMH</x:v>
      </x:c>
      <x:c r="B142" t="str">
        <x:v>Hypothalamus</x:v>
      </x:c>
      <x:c r="C142" t="n">
        <x:v>1</x:v>
      </x:c>
      <x:c r="D142" t="n">
        <x:v>2</x:v>
      </x:c>
      <x:c r="E142" s="40" t="n">
        <x:v>3.6886346035804647</x:v>
      </x:c>
      <x:c r="F142" s="40" t="n">
        <x:v>63.37000756419692</x:v>
      </x:c>
      <x:c r="G142" s="87" t="n">
        <x:v>0.2827172827172827</x:v>
      </x:c>
      <x:c r="H142" s="88" t="b">
        <x:v>0</x:v>
      </x:c>
      <x:c r="I142" s="87" t="n">
        <x:v>0.4346982497271514</x:v>
      </x:c>
      <x:c r="J142" s="17" t="b">
        <x:v>0</x:v>
      </x:c>
    </x:row>
    <x:row r="143">
      <x:c r="A143" t="str">
        <x:v>ZI</x:v>
      </x:c>
      <x:c r="B143" t="str">
        <x:v>Hypothalamus</x:v>
      </x:c>
      <x:c r="C143" t="n">
        <x:v>44</x:v>
      </x:c>
      <x:c r="D143" t="n">
        <x:v>352</x:v>
      </x:c>
      <x:c r="E143" s="40" t="n">
        <x:v>4.431982752106152</x:v>
      </x:c>
      <x:c r="F143" s="40" t="n">
        <x:v>114.17595141391008</x:v>
      </x:c>
      <x:c r="G143" s="87" t="n">
        <x:v>0.0009990009990009</x:v>
      </x:c>
      <x:c r="H143" s="88" t="b">
        <x:v>1</x:v>
      </x:c>
      <x:c r="I143" s="87" t="n">
        <x:v>0.0066433566433566</x:v>
      </x:c>
      <x:c r="J143" s="17" t="b">
        <x:v>1</x:v>
      </x:c>
    </x:row>
    <x:row r="144">
      <x:c r="A144" t="str">
        <x:v>ACAd</x:v>
      </x:c>
      <x:c r="B144" t="str">
        <x:v>Isocortex</x:v>
      </x:c>
      <x:c r="C144" t="n">
        <x:v>24</x:v>
      </x:c>
      <x:c r="D144" t="n">
        <x:v>369</x:v>
      </x:c>
      <x:c r="E144" s="40" t="n">
        <x:v>2.5329062851947333</x:v>
      </x:c>
      <x:c r="F144" s="40" t="n">
        <x:v>101.3818071641544</x:v>
      </x:c>
      <x:c r="G144" s="87" t="n">
        <x:v>0.0009990009990009</x:v>
      </x:c>
      <x:c r="H144" s="88" t="b">
        <x:v>1</x:v>
      </x:c>
      <x:c r="I144" s="87" t="n">
        <x:v>0.0066433566433566</x:v>
      </x:c>
      <x:c r="J144" s="17" t="b">
        <x:v>1</x:v>
      </x:c>
    </x:row>
    <x:row r="145">
      <x:c r="A145" t="str">
        <x:v>ACAv</x:v>
      </x:c>
      <x:c r="B145" t="str">
        <x:v>Isocortex</x:v>
      </x:c>
      <x:c r="C145" t="n">
        <x:v>15</x:v>
      </x:c>
      <x:c r="D145" t="n">
        <x:v>195</x:v>
      </x:c>
      <x:c r="E145" s="40" t="n">
        <x:v>0.9949519849937458</x:v>
      </x:c>
      <x:c r="F145" s="40" t="n">
        <x:v>101.90398906433828</x:v>
      </x:c>
      <x:c r="G145" s="87" t="n">
        <x:v>0.5244755244755245</x:v>
      </x:c>
      <x:c r="H145" s="88" t="b">
        <x:v>1</x:v>
      </x:c>
      <x:c r="I145" s="87" t="n">
        <x:v>0.6675143038779403</x:v>
      </x:c>
      <x:c r="J145" s="17" t="b">
        <x:v>0</x:v>
      </x:c>
    </x:row>
    <x:row r="146">
      <x:c r="A146" t="str">
        <x:v>AId</x:v>
      </x:c>
      <x:c r="B146" t="str">
        <x:v>Isocortex</x:v>
      </x:c>
      <x:c r="C146" t="n">
        <x:v>10</x:v>
      </x:c>
      <x:c r="D146" t="n">
        <x:v>188</x:v>
      </x:c>
      <x:c r="E146" s="40" t="n">
        <x:v>1.3131102834624315</x:v>
      </x:c>
      <x:c r="F146" s="40" t="n">
        <x:v>101.18769670057084</x:v>
      </x:c>
      <x:c r="G146" s="87" t="n">
        <x:v>0.6163836163836164</x:v>
      </x:c>
      <x:c r="H146" s="88" t="b">
        <x:v>1</x:v>
      </x:c>
      <x:c r="I146" s="87" t="n">
        <x:v>0.7287024087024087</x:v>
      </x:c>
      <x:c r="J146" s="17" t="b">
        <x:v>0</x:v>
      </x:c>
    </x:row>
    <x:row r="147">
      <x:c r="A147" t="str">
        <x:v>AIp</x:v>
      </x:c>
      <x:c r="B147" t="str">
        <x:v>Isocortex</x:v>
      </x:c>
      <x:c r="C147" t="n">
        <x:v>6</x:v>
      </x:c>
      <x:c r="D147" t="n">
        <x:v>93</x:v>
      </x:c>
      <x:c r="E147" s="40" t="n">
        <x:v>3.2981069364410995</x:v>
      </x:c>
      <x:c r="F147" s="40" t="n">
        <x:v>137.72212026157197</x:v>
      </x:c>
      <x:c r="G147" s="87" t="n">
        <x:v>0.0109890109890109</x:v>
      </x:c>
      <x:c r="H147" s="88" t="b">
        <x:v>1</x:v>
      </x:c>
      <x:c r="I147" s="87" t="n">
        <x:v>0.0405982905982906</x:v>
      </x:c>
      <x:c r="J147" s="17" t="b">
        <x:v>0</x:v>
      </x:c>
    </x:row>
    <x:row r="148">
      <x:c r="A148" t="str">
        <x:v>AIv</x:v>
      </x:c>
      <x:c r="B148" t="str">
        <x:v>Isocortex</x:v>
      </x:c>
      <x:c r="C148" t="n">
        <x:v>6</x:v>
      </x:c>
      <x:c r="D148" t="n">
        <x:v>149</x:v>
      </x:c>
      <x:c r="E148" s="40" t="n">
        <x:v>1.0079797177299563</x:v>
      </x:c>
      <x:c r="F148" s="40" t="n">
        <x:v>121.55784877378534</x:v>
      </x:c>
      <x:c r="G148" s="87" t="n">
        <x:v>0.6123876123876124</x:v>
      </x:c>
      <x:c r="H148" s="88" t="b">
        <x:v>1</x:v>
      </x:c>
      <x:c r="I148" s="87" t="n">
        <x:v>0.7272102897102898</x:v>
      </x:c>
      <x:c r="J148" s="17" t="b">
        <x:v>0</x:v>
      </x:c>
    </x:row>
    <x:row r="149">
      <x:c r="A149" t="str">
        <x:v>AUDd</x:v>
      </x:c>
      <x:c r="B149" t="str">
        <x:v>Isocortex</x:v>
      </x:c>
      <x:c r="C149" t="n">
        <x:v>7</x:v>
      </x:c>
      <x:c r="D149" t="n">
        <x:v>133</x:v>
      </x:c>
      <x:c r="E149" s="40" t="n">
        <x:v>5.679632777805693</x:v>
      </x:c>
      <x:c r="F149" s="40" t="n">
        <x:v>127.94696795540894</x:v>
      </x:c>
      <x:c r="G149" s="87" t="n">
        <x:v>0.0139860139860139</x:v>
      </x:c>
      <x:c r="H149" s="88" t="b">
        <x:v>1</x:v>
      </x:c>
      <x:c r="I149" s="87" t="n">
        <x:v>0.0483153210425937</x:v>
      </x:c>
      <x:c r="J149" s="17" t="b">
        <x:v>0</x:v>
      </x:c>
    </x:row>
    <x:row r="150">
      <x:c r="A150" t="str">
        <x:v>AUDp</x:v>
      </x:c>
      <x:c r="B150" t="str">
        <x:v>Isocortex</x:v>
      </x:c>
      <x:c r="C150" t="n">
        <x:v>7</x:v>
      </x:c>
      <x:c r="D150" t="n">
        <x:v>167</x:v>
      </x:c>
      <x:c r="E150" s="40" t="n">
        <x:v>1.1158147490185213</x:v>
      </x:c>
      <x:c r="F150" s="40" t="n">
        <x:v>22.55822426596518</x:v>
      </x:c>
      <x:c r="G150" s="87" t="n">
        <x:v>0.3886113886113886</x:v>
      </x:c>
      <x:c r="H150" s="88" t="b">
        <x:v>1</x:v>
      </x:c>
      <x:c r="I150" s="87" t="n">
        <x:v>0.538282230589923</x:v>
      </x:c>
      <x:c r="J150" s="17" t="b">
        <x:v>0</x:v>
      </x:c>
    </x:row>
    <x:row r="151">
      <x:c r="A151" t="str">
        <x:v>AUDpo</x:v>
      </x:c>
      <x:c r="B151" t="str">
        <x:v>Isocortex</x:v>
      </x:c>
      <x:c r="C151" t="n">
        <x:v>6</x:v>
      </x:c>
      <x:c r="D151" t="n">
        <x:v>46</x:v>
      </x:c>
      <x:c r="E151" s="40" t="n">
        <x:v>1.7210903586802078</x:v>
      </x:c>
      <x:c r="F151" s="40" t="n">
        <x:v>31.91949155534756</x:v>
      </x:c>
      <x:c r="G151" s="87" t="n">
        <x:v>0.4875124875124875</x:v>
      </x:c>
      <x:c r="H151" s="88" t="b">
        <x:v>1</x:v>
      </x:c>
      <x:c r="I151" s="87" t="n">
        <x:v>0.6325771789186423</x:v>
      </x:c>
      <x:c r="J151" s="17" t="b">
        <x:v>0</x:v>
      </x:c>
    </x:row>
    <x:row r="152">
      <x:c r="A152" t="str">
        <x:v>AUDv</x:v>
      </x:c>
      <x:c r="B152" t="str">
        <x:v>Isocortex</x:v>
      </x:c>
      <x:c r="C152" t="n">
        <x:v>9</x:v>
      </x:c>
      <x:c r="D152" t="n">
        <x:v>253</x:v>
      </x:c>
      <x:c r="E152" s="40" t="n">
        <x:v>1.9101253455816924</x:v>
      </x:c>
      <x:c r="F152" s="40" t="n">
        <x:v>101.3551619872142</x:v>
      </x:c>
      <x:c r="G152" s="87" t="n">
        <x:v>0.0049950049950049</x:v>
      </x:c>
      <x:c r="H152" s="88" t="b">
        <x:v>1</x:v>
      </x:c>
      <x:c r="I152" s="87" t="n">
        <x:v>0.0229081263564022</x:v>
      </x:c>
      <x:c r="J152" s="17" t="b">
        <x:v>0</x:v>
      </x:c>
    </x:row>
    <x:row r="153">
      <x:c r="A153" t="str">
        <x:v>ECT</x:v>
      </x:c>
      <x:c r="B153" t="str">
        <x:v>Isocortex</x:v>
      </x:c>
      <x:c r="C153" t="n">
        <x:v>8</x:v>
      </x:c>
      <x:c r="D153" t="n">
        <x:v>85</x:v>
      </x:c>
      <x:c r="E153" s="40" t="n">
        <x:v>0.8931305571637023</x:v>
      </x:c>
      <x:c r="F153" s="40" t="n">
        <x:v>80.9055039783629</x:v>
      </x:c>
      <x:c r="G153" s="87" t="n">
        <x:v>0.1748251748251748</x:v>
      </x:c>
      <x:c r="H153" s="88" t="b">
        <x:v>1</x:v>
      </x:c>
      <x:c r="I153" s="87" t="n">
        <x:v>0.3121040033791711</x:v>
      </x:c>
      <x:c r="J153" s="17" t="b">
        <x:v>0</x:v>
      </x:c>
    </x:row>
    <x:row r="154">
      <x:c r="A154" t="str">
        <x:v>FRP</x:v>
      </x:c>
      <x:c r="B154" t="str">
        <x:v>Isocortex</x:v>
      </x:c>
      <x:c r="C154" t="n">
        <x:v>11</x:v>
      </x:c>
      <x:c r="D154" t="n">
        <x:v>88</x:v>
      </x:c>
      <x:c r="E154" s="40" t="n">
        <x:v>9.156370224215385</x:v>
      </x:c>
      <x:c r="F154" s="40" t="n">
        <x:v>118.2498467367648</x:v>
      </x:c>
      <x:c r="G154" s="87" t="n">
        <x:v>0.0009990009990009</x:v>
      </x:c>
      <x:c r="H154" s="88" t="b">
        <x:v>1</x:v>
      </x:c>
      <x:c r="I154" s="87" t="n">
        <x:v>0.0066433566433566</x:v>
      </x:c>
      <x:c r="J154" s="17" t="b">
        <x:v>1</x:v>
      </x:c>
    </x:row>
    <x:row r="155">
      <x:c r="A155" t="str">
        <x:v>GU</x:v>
      </x:c>
      <x:c r="B155" t="str">
        <x:v>Isocortex</x:v>
      </x:c>
      <x:c r="C155" t="n">
        <x:v>4</x:v>
      </x:c>
      <x:c r="D155" t="n">
        <x:v>69</x:v>
      </x:c>
      <x:c r="E155" s="40" t="n">
        <x:v>1.6978131497173172</x:v>
      </x:c>
      <x:c r="F155" s="40" t="n">
        <x:v>54.66888787756518</x:v>
      </x:c>
      <x:c r="G155" s="87" t="n">
        <x:v>0.7872127872127872</x:v>
      </x:c>
      <x:c r="H155" s="88" t="b">
        <x:v>1</x:v>
      </x:c>
      <x:c r="I155" s="87" t="n">
        <x:v>0.8592800641980969</x:v>
      </x:c>
      <x:c r="J155" s="17" t="b">
        <x:v>0</x:v>
      </x:c>
    </x:row>
    <x:row r="156">
      <x:c r="A156" t="str">
        <x:v>ILA</x:v>
      </x:c>
      <x:c r="B156" t="str">
        <x:v>Isocortex</x:v>
      </x:c>
      <x:c r="C156" t="n">
        <x:v>11</x:v>
      </x:c>
      <x:c r="D156" t="n">
        <x:v>314</x:v>
      </x:c>
      <x:c r="E156" s="40" t="n">
        <x:v>0.6345781229625247</x:v>
      </x:c>
      <x:c r="F156" s="40" t="n">
        <x:v>136.2826738567202</x:v>
      </x:c>
      <x:c r="G156" s="87" t="n">
        <x:v>0.929070929070929</x:v>
      </x:c>
      <x:c r="H156" s="88" t="b">
        <x:v>1</x:v>
      </x:c>
      <x:c r="I156" s="87" t="n">
        <x:v>0.9616064868983156</x:v>
      </x:c>
      <x:c r="J156" s="17" t="b">
        <x:v>0</x:v>
      </x:c>
    </x:row>
    <x:row r="157">
      <x:c r="A157" t="str">
        <x:v>MOp</x:v>
      </x:c>
      <x:c r="B157" t="str">
        <x:v>Isocortex</x:v>
      </x:c>
      <x:c r="C157" t="n">
        <x:v>36</x:v>
      </x:c>
      <x:c r="D157" t="n">
        <x:v>1458</x:v>
      </x:c>
      <x:c r="E157" s="40" t="n">
        <x:v>2.628631332958979</x:v>
      </x:c>
      <x:c r="F157" s="40" t="n">
        <x:v>129.6032309470296</x:v>
      </x:c>
      <x:c r="G157" s="87" t="n">
        <x:v>0.1798201798201798</x:v>
      </x:c>
      <x:c r="H157" s="88" t="b">
        <x:v>1</x:v>
      </x:c>
      <x:c r="I157" s="87" t="n">
        <x:v>0.3146853146853146</x:v>
      </x:c>
      <x:c r="J157" s="17" t="b">
        <x:v>0</x:v>
      </x:c>
    </x:row>
    <x:row r="158">
      <x:c r="A158" t="str">
        <x:v>MOs</x:v>
      </x:c>
      <x:c r="B158" t="str">
        <x:v>Isocortex</x:v>
      </x:c>
      <x:c r="C158" t="n">
        <x:v>49</x:v>
      </x:c>
      <x:c r="D158" t="n">
        <x:v>1293</x:v>
      </x:c>
      <x:c r="E158" s="40" t="n">
        <x:v>4.434066602055901</x:v>
      </x:c>
      <x:c r="F158" s="40" t="n">
        <x:v>123.4587897113985</x:v>
      </x:c>
      <x:c r="G158" s="87" t="n">
        <x:v>0.0009990009990009</x:v>
      </x:c>
      <x:c r="H158" s="88" t="b">
        <x:v>1</x:v>
      </x:c>
      <x:c r="I158" s="87" t="n">
        <x:v>0.0066433566433566</x:v>
      </x:c>
      <x:c r="J158" s="17" t="b">
        <x:v>1</x:v>
      </x:c>
    </x:row>
    <x:row r="159">
      <x:c r="A159" t="str">
        <x:v>ORBl</x:v>
      </x:c>
      <x:c r="B159" t="str">
        <x:v>Isocortex</x:v>
      </x:c>
      <x:c r="C159" t="n">
        <x:v>8</x:v>
      </x:c>
      <x:c r="D159" t="n">
        <x:v>199</x:v>
      </x:c>
      <x:c r="E159" s="40" t="n">
        <x:v>3.4030627924211396</x:v>
      </x:c>
      <x:c r="F159" s="40" t="n">
        <x:v>128.64019720925745</x:v>
      </x:c>
      <x:c r="G159" s="87" t="n">
        <x:v>0.0059940059940059</x:v>
      </x:c>
      <x:c r="H159" s="88" t="b">
        <x:v>1</x:v>
      </x:c>
      <x:c r="I159" s="87" t="n">
        <x:v>0.0257162192646063</x:v>
      </x:c>
      <x:c r="J159" s="17" t="b">
        <x:v>0</x:v>
      </x:c>
    </x:row>
    <x:row r="160">
      <x:c r="A160" t="str">
        <x:v>ORBm</x:v>
      </x:c>
      <x:c r="B160" t="str">
        <x:v>Isocortex</x:v>
      </x:c>
      <x:c r="C160" t="n">
        <x:v>9</x:v>
      </x:c>
      <x:c r="D160" t="n">
        <x:v>313</x:v>
      </x:c>
      <x:c r="E160" s="40" t="n">
        <x:v>1.6619481831426408</x:v>
      </x:c>
      <x:c r="F160" s="40" t="n">
        <x:v>106.901051568088</x:v>
      </x:c>
      <x:c r="G160" s="87" t="n">
        <x:v>0.1258741258741259</x:v>
      </x:c>
      <x:c r="H160" s="88" t="b">
        <x:v>1</x:v>
      </x:c>
      <x:c r="I160" s="87" t="n">
        <x:v>0.2408814207375358</x:v>
      </x:c>
      <x:c r="J160" s="17" t="b">
        <x:v>0</x:v>
      </x:c>
    </x:row>
    <x:row r="161">
      <x:c r="A161" t="str">
        <x:v>ORBvl</x:v>
      </x:c>
      <x:c r="B161" t="str">
        <x:v>Isocortex</x:v>
      </x:c>
      <x:c r="C161" t="n">
        <x:v>9</x:v>
      </x:c>
      <x:c r="D161" t="n">
        <x:v>669</x:v>
      </x:c>
      <x:c r="E161" s="40" t="n">
        <x:v>3.940813524257923</x:v>
      </x:c>
      <x:c r="F161" s="40" t="n">
        <x:v>106.31975063834186</x:v>
      </x:c>
      <x:c r="G161" s="87" t="n">
        <x:v>0.0009990009990009</x:v>
      </x:c>
      <x:c r="H161" s="88" t="b">
        <x:v>1</x:v>
      </x:c>
      <x:c r="I161" s="87" t="n">
        <x:v>0.0066433566433566</x:v>
      </x:c>
      <x:c r="J161" s="17" t="b">
        <x:v>1</x:v>
      </x:c>
    </x:row>
    <x:row r="162">
      <x:c r="A162" t="str">
        <x:v>PERI</x:v>
      </x:c>
      <x:c r="B162" t="str">
        <x:v>Isocortex</x:v>
      </x:c>
      <x:c r="C162" t="n">
        <x:v>5</x:v>
      </x:c>
      <x:c r="D162" t="n">
        <x:v>36</x:v>
      </x:c>
      <x:c r="E162" s="40" t="n">
        <x:v>0.8908763398569941</x:v>
      </x:c>
      <x:c r="F162" s="40" t="n">
        <x:v>5</x:v>
      </x:c>
      <x:c r="G162" s="87" t="n">
        <x:v>0.6603396603396603</x:v>
      </x:c>
      <x:c r="H162" s="88" t="b">
        <x:v>1</x:v>
      </x:c>
      <x:c r="I162" s="87" t="n">
        <x:v>0.7661429479611298</x:v>
      </x:c>
      <x:c r="J162" s="17" t="b">
        <x:v>0</x:v>
      </x:c>
    </x:row>
    <x:row r="163">
      <x:c r="A163" t="str">
        <x:v>PL</x:v>
      </x:c>
      <x:c r="B163" t="str">
        <x:v>Isocortex</x:v>
      </x:c>
      <x:c r="C163" t="n">
        <x:v>20</x:v>
      </x:c>
      <x:c r="D163" t="n">
        <x:v>420</x:v>
      </x:c>
      <x:c r="E163" s="40" t="n">
        <x:v>3.1774748052790347</x:v>
      </x:c>
      <x:c r="F163" s="40" t="n">
        <x:v>118.1892998533707</x:v>
      </x:c>
      <x:c r="G163" s="87" t="n">
        <x:v>0.0059940059940059</x:v>
      </x:c>
      <x:c r="H163" s="88" t="b">
        <x:v>1</x:v>
      </x:c>
      <x:c r="I163" s="87" t="n">
        <x:v>0.0257162192646063</x:v>
      </x:c>
      <x:c r="J163" s="17" t="b">
        <x:v>0</x:v>
      </x:c>
    </x:row>
    <x:row r="164">
      <x:c r="A164" t="str">
        <x:v>RSPagl</x:v>
      </x:c>
      <x:c r="B164" t="str">
        <x:v>Isocortex</x:v>
      </x:c>
      <x:c r="C164" t="n">
        <x:v>26</x:v>
      </x:c>
      <x:c r="D164" t="n">
        <x:v>310</x:v>
      </x:c>
      <x:c r="E164" s="40" t="n">
        <x:v>1.598706112202752</x:v>
      </x:c>
      <x:c r="F164" s="40" t="n">
        <x:v>120.91976437282798</x:v>
      </x:c>
      <x:c r="G164" s="87" t="n">
        <x:v>0.0959040959040959</x:v>
      </x:c>
      <x:c r="H164" s="88" t="b">
        <x:v>1</x:v>
      </x:c>
      <x:c r="I164" s="87" t="n">
        <x:v>0.1977557326394535</x:v>
      </x:c>
      <x:c r="J164" s="17" t="b">
        <x:v>0</x:v>
      </x:c>
    </x:row>
    <x:row r="165">
      <x:c r="A165" t="str">
        <x:v>RSPd</x:v>
      </x:c>
      <x:c r="B165" t="str">
        <x:v>Isocortex</x:v>
      </x:c>
      <x:c r="C165" t="n">
        <x:v>29</x:v>
      </x:c>
      <x:c r="D165" t="n">
        <x:v>318</x:v>
      </x:c>
      <x:c r="E165" s="40" t="n">
        <x:v>1.0898986787857203</x:v>
      </x:c>
      <x:c r="F165" s="40" t="n">
        <x:v>109.857380502274</x:v>
      </x:c>
      <x:c r="G165" s="87" t="n">
        <x:v>0.4465534465534465</x:v>
      </x:c>
      <x:c r="H165" s="88" t="b">
        <x:v>1</x:v>
      </x:c>
      <x:c r="I165" s="87" t="n">
        <x:v>0.588035726649588</x:v>
      </x:c>
      <x:c r="J165" s="17" t="b">
        <x:v>0</x:v>
      </x:c>
    </x:row>
    <x:row r="166">
      <x:c r="A166" t="str">
        <x:v>RSPv</x:v>
      </x:c>
      <x:c r="B166" t="str">
        <x:v>Isocortex</x:v>
      </x:c>
      <x:c r="C166" t="n">
        <x:v>33</x:v>
      </x:c>
      <x:c r="D166" t="n">
        <x:v>528</x:v>
      </x:c>
      <x:c r="E166" s="40" t="n">
        <x:v>1.9244538045278672</x:v>
      </x:c>
      <x:c r="F166" s="40" t="n">
        <x:v>92.15264301809874</x:v>
      </x:c>
      <x:c r="G166" s="87" t="n">
        <x:v>0.0979020979020979</x:v>
      </x:c>
      <x:c r="H166" s="88" t="b">
        <x:v>1</x:v>
      </x:c>
      <x:c r="I166" s="87" t="n">
        <x:v>0.200322754168908</x:v>
      </x:c>
      <x:c r="J166" s="17" t="b">
        <x:v>0</x:v>
      </x:c>
    </x:row>
    <x:row r="167">
      <x:c r="A167" t="str">
        <x:v>SSp-bfd</x:v>
      </x:c>
      <x:c r="B167" t="str">
        <x:v>Isocortex</x:v>
      </x:c>
      <x:c r="C167" t="n">
        <x:v>30</x:v>
      </x:c>
      <x:c r="D167" t="n">
        <x:v>488</x:v>
      </x:c>
      <x:c r="E167" s="40" t="n">
        <x:v>1.1518759375886765</x:v>
      </x:c>
      <x:c r="F167" s="40" t="n">
        <x:v>117.51027421870737</x:v>
      </x:c>
      <x:c r="G167" s="87" t="n">
        <x:v>0.3376623376623376</x:v>
      </x:c>
      <x:c r="H167" s="88" t="b">
        <x:v>1</x:v>
      </x:c>
      <x:c r="I167" s="87" t="n">
        <x:v>0.490809736711376</x:v>
      </x:c>
      <x:c r="J167" s="17" t="b">
        <x:v>0</x:v>
      </x:c>
    </x:row>
    <x:row r="168">
      <x:c r="A168" t="str">
        <x:v>SSp-ll</x:v>
      </x:c>
      <x:c r="B168" t="str">
        <x:v>Isocortex</x:v>
      </x:c>
      <x:c r="C168" t="n">
        <x:v>9</x:v>
      </x:c>
      <x:c r="D168" t="n">
        <x:v>130</x:v>
      </x:c>
      <x:c r="E168" s="40" t="n">
        <x:v>3.128103791830873</x:v>
      </x:c>
      <x:c r="F168" s="40" t="n">
        <x:v>114.05177341543514</x:v>
      </x:c>
      <x:c r="G168" s="87" t="n">
        <x:v>0.1618381618381618</x:v>
      </x:c>
      <x:c r="H168" s="88" t="b">
        <x:v>1</x:v>
      </x:c>
      <x:c r="I168" s="87" t="n">
        <x:v>0.2948558291024044</x:v>
      </x:c>
      <x:c r="J168" s="17" t="b">
        <x:v>0</x:v>
      </x:c>
    </x:row>
    <x:row r="169">
      <x:c r="A169" t="str">
        <x:v>SSp-m</x:v>
      </x:c>
      <x:c r="B169" t="str">
        <x:v>Isocortex</x:v>
      </x:c>
      <x:c r="C169" t="n">
        <x:v>11</x:v>
      </x:c>
      <x:c r="D169" t="n">
        <x:v>354</x:v>
      </x:c>
      <x:c r="E169" s="40" t="n">
        <x:v>0.7195007418591088</x:v>
      </x:c>
      <x:c r="F169" s="40" t="n">
        <x:v>48.05842082935928</x:v>
      </x:c>
      <x:c r="G169" s="87" t="n">
        <x:v>0.986013986013986</x:v>
      </x:c>
      <x:c r="H169" s="88" t="b">
        <x:v>1</x:v>
      </x:c>
      <x:c r="I169" s="87" t="n">
        <x:v>0.986013986013986</x:v>
      </x:c>
      <x:c r="J169" s="17" t="b">
        <x:v>0</x:v>
      </x:c>
    </x:row>
    <x:row r="170">
      <x:c r="A170" t="str">
        <x:v>SSp-n</x:v>
      </x:c>
      <x:c r="B170" t="str">
        <x:v>Isocortex</x:v>
      </x:c>
      <x:c r="C170" t="n">
        <x:v>7</x:v>
      </x:c>
      <x:c r="D170" t="n">
        <x:v>72</x:v>
      </x:c>
      <x:c r="E170" s="40" t="n">
        <x:v>1.2599489461314175</x:v>
      </x:c>
      <x:c r="F170" s="40" t="n">
        <x:v>61.55578713803187</x:v>
      </x:c>
      <x:c r="G170" s="87" t="n">
        <x:v>0.6923076923076923</x:v>
      </x:c>
      <x:c r="H170" s="88" t="b">
        <x:v>1</x:v>
      </x:c>
      <x:c r="I170" s="87" t="n">
        <x:v>0.7836333878887071</x:v>
      </x:c>
      <x:c r="J170" s="17" t="b">
        <x:v>0</x:v>
      </x:c>
    </x:row>
    <x:row r="171">
      <x:c r="A171" t="str">
        <x:v>SSp-tr</x:v>
      </x:c>
      <x:c r="B171" t="str">
        <x:v>Isocortex</x:v>
      </x:c>
      <x:c r="C171" t="n">
        <x:v>14</x:v>
      </x:c>
      <x:c r="D171" t="n">
        <x:v>303</x:v>
      </x:c>
      <x:c r="E171" s="40" t="n">
        <x:v>1.2809996279776046</x:v>
      </x:c>
      <x:c r="F171" s="40" t="n">
        <x:v>114.43699896801202</x:v>
      </x:c>
      <x:c r="G171" s="87" t="n">
        <x:v>0.6643356643356644</x:v>
      </x:c>
      <x:c r="H171" s="88" t="b">
        <x:v>1</x:v>
      </x:c>
      <x:c r="I171" s="87" t="n">
        <x:v>0.7661429479611298</x:v>
      </x:c>
      <x:c r="J171" s="17" t="b">
        <x:v>0</x:v>
      </x:c>
    </x:row>
    <x:row r="172">
      <x:c r="A172" t="str">
        <x:v>SSp-ul</x:v>
      </x:c>
      <x:c r="B172" t="str">
        <x:v>Isocortex</x:v>
      </x:c>
      <x:c r="C172" t="n">
        <x:v>13</x:v>
      </x:c>
      <x:c r="D172" t="n">
        <x:v>196</x:v>
      </x:c>
      <x:c r="E172" s="40" t="n">
        <x:v>6.657959688762971</x:v>
      </x:c>
      <x:c r="F172" s="40" t="n">
        <x:v>111.3619876822541</x:v>
      </x:c>
      <x:c r="G172" s="87" t="n">
        <x:v>0.1358641358641358</x:v>
      </x:c>
      <x:c r="H172" s="88" t="b">
        <x:v>1</x:v>
      </x:c>
      <x:c r="I172" s="87" t="n">
        <x:v>0.2563110648217031</x:v>
      </x:c>
      <x:c r="J172" s="17" t="b">
        <x:v>0</x:v>
      </x:c>
    </x:row>
    <x:row r="173">
      <x:c r="A173" t="str">
        <x:v>SSp-un</x:v>
      </x:c>
      <x:c r="B173" t="str">
        <x:v>Isocortex</x:v>
      </x:c>
      <x:c r="C173" t="n">
        <x:v>5</x:v>
      </x:c>
      <x:c r="D173" t="n">
        <x:v>67</x:v>
      </x:c>
      <x:c r="E173" s="40" t="n">
        <x:v>1.9193390352094997</x:v>
      </x:c>
      <x:c r="F173" s="40" t="n">
        <x:v>129.4089167445495</x:v>
      </x:c>
      <x:c r="G173" s="87" t="n">
        <x:v>0.3376623376623376</x:v>
      </x:c>
      <x:c r="H173" s="88" t="b">
        <x:v>1</x:v>
      </x:c>
      <x:c r="I173" s="87" t="n">
        <x:v>0.490809736711376</x:v>
      </x:c>
      <x:c r="J173" s="17" t="b">
        <x:v>0</x:v>
      </x:c>
    </x:row>
    <x:row r="174">
      <x:c r="A174" t="str">
        <x:v>SSs</x:v>
      </x:c>
      <x:c r="B174" t="str">
        <x:v>Isocortex</x:v>
      </x:c>
      <x:c r="C174" t="n">
        <x:v>15</x:v>
      </x:c>
      <x:c r="D174" t="n">
        <x:v>439</x:v>
      </x:c>
      <x:c r="E174" s="40" t="n">
        <x:v>1.979545963683848</x:v>
      </x:c>
      <x:c r="F174" s="40" t="n">
        <x:v>122.47052718689906</x:v>
      </x:c>
      <x:c r="G174" s="87" t="n">
        <x:v>0.0199800199800199</x:v>
      </x:c>
      <x:c r="H174" s="88" t="b">
        <x:v>1</x:v>
      </x:c>
      <x:c r="I174" s="87" t="n">
        <x:v>0.0617986664498292</x:v>
      </x:c>
      <x:c r="J174" s="17" t="b">
        <x:v>0</x:v>
      </x:c>
    </x:row>
    <x:row r="175">
      <x:c r="A175" t="str">
        <x:v>TEa</x:v>
      </x:c>
      <x:c r="B175" t="str">
        <x:v>Isocortex</x:v>
      </x:c>
      <x:c r="C175" t="n">
        <x:v>10</x:v>
      </x:c>
      <x:c r="D175" t="n">
        <x:v>166</x:v>
      </x:c>
      <x:c r="E175" s="40" t="n">
        <x:v>0.8279072623197827</x:v>
      </x:c>
      <x:c r="F175" s="40" t="n">
        <x:v>84.86202366983102</x:v>
      </x:c>
      <x:c r="G175" s="87" t="n">
        <x:v>0.0179820179820179</x:v>
      </x:c>
      <x:c r="H175" s="88" t="b">
        <x:v>1</x:v>
      </x:c>
      <x:c r="I175" s="87" t="n">
        <x:v>0.0583319119904485</x:v>
      </x:c>
      <x:c r="J175" s="17" t="b">
        <x:v>0</x:v>
      </x:c>
    </x:row>
    <x:row r="176">
      <x:c r="A176" t="str">
        <x:v>VISC</x:v>
      </x:c>
      <x:c r="B176" t="str">
        <x:v>Isocortex</x:v>
      </x:c>
      <x:c r="C176" t="n">
        <x:v>5</x:v>
      </x:c>
      <x:c r="D176" t="n">
        <x:v>61</x:v>
      </x:c>
      <x:c r="E176" s="40" t="n">
        <x:v>0.9255120421788569</x:v>
      </x:c>
      <x:c r="F176" s="40" t="n">
        <x:v>13.74176878892094</x:v>
      </x:c>
      <x:c r="G176" s="87" t="n">
        <x:v>0.3506493506493506</x:v>
      </x:c>
      <x:c r="H176" s="88" t="b">
        <x:v>1</x:v>
      </x:c>
      <x:c r="I176" s="87" t="n">
        <x:v>0.5041769041769042</x:v>
      </x:c>
      <x:c r="J176" s="17" t="b">
        <x:v>0</x:v>
      </x:c>
    </x:row>
    <x:row r="177">
      <x:c r="A177" t="str">
        <x:v>VISa</x:v>
      </x:c>
      <x:c r="B177" t="str">
        <x:v>Isocortex</x:v>
      </x:c>
      <x:c r="C177" t="n">
        <x:v>47</x:v>
      </x:c>
      <x:c r="D177" t="n">
        <x:v>940</x:v>
      </x:c>
      <x:c r="E177" s="40" t="n">
        <x:v>1.1873121334279415</x:v>
      </x:c>
      <x:c r="F177" s="40" t="n">
        <x:v>75.85641615486215</x:v>
      </x:c>
      <x:c r="G177" s="87" t="n">
        <x:v>0.2347652347652347</x:v>
      </x:c>
      <x:c r="H177" s="88" t="b">
        <x:v>1</x:v>
      </x:c>
      <x:c r="I177" s="87" t="n">
        <x:v>0.3854787188120521</x:v>
      </x:c>
      <x:c r="J177" s="17" t="b">
        <x:v>0</x:v>
      </x:c>
    </x:row>
    <x:row r="178">
      <x:c r="A178" t="str">
        <x:v>VISal</x:v>
      </x:c>
      <x:c r="B178" t="str">
        <x:v>Isocortex</x:v>
      </x:c>
      <x:c r="C178" t="n">
        <x:v>4</x:v>
      </x:c>
      <x:c r="D178" t="n">
        <x:v>95</x:v>
      </x:c>
      <x:c r="E178" s="40" t="n">
        <x:v>3.4470172444950924</x:v>
      </x:c>
      <x:c r="F178" s="40" t="n">
        <x:v>65.21739637631286</x:v>
      </x:c>
      <x:c r="G178" s="87" t="n">
        <x:v>0.0129870129870129</x:v>
      </x:c>
      <x:c r="H178" s="88" t="b">
        <x:v>1</x:v>
      </x:c>
      <x:c r="I178" s="87" t="n">
        <x:v>0.046060606060606</x:v>
      </x:c>
      <x:c r="J178" s="17" t="b">
        <x:v>0</x:v>
      </x:c>
    </x:row>
    <x:row r="179">
      <x:c r="A179" t="str">
        <x:v>VISam</x:v>
      </x:c>
      <x:c r="B179" t="str">
        <x:v>Isocortex</x:v>
      </x:c>
      <x:c r="C179" t="n">
        <x:v>23</x:v>
      </x:c>
      <x:c r="D179" t="n">
        <x:v>374</x:v>
      </x:c>
      <x:c r="E179" s="40" t="n">
        <x:v>2.455667160467146</x:v>
      </x:c>
      <x:c r="F179" s="40" t="n">
        <x:v>62.66680923955178</x:v>
      </x:c>
      <x:c r="G179" s="87" t="n">
        <x:v>0.0009990009990009</x:v>
      </x:c>
      <x:c r="H179" s="88" t="b">
        <x:v>1</x:v>
      </x:c>
      <x:c r="I179" s="87" t="n">
        <x:v>0.0066433566433566</x:v>
      </x:c>
      <x:c r="J179" s="17" t="b">
        <x:v>1</x:v>
      </x:c>
    </x:row>
    <x:row r="180">
      <x:c r="A180" t="str">
        <x:v>VISl</x:v>
      </x:c>
      <x:c r="B180" t="str">
        <x:v>Isocortex</x:v>
      </x:c>
      <x:c r="C180" t="n">
        <x:v>11</x:v>
      </x:c>
      <x:c r="D180" t="n">
        <x:v>151</x:v>
      </x:c>
      <x:c r="E180" s="40" t="n">
        <x:v>2.5180972010330684</x:v>
      </x:c>
      <x:c r="F180" s="40" t="n">
        <x:v>48.54453912020537</x:v>
      </x:c>
      <x:c r="G180" s="87" t="n">
        <x:v>0.0069930069930069</x:v>
      </x:c>
      <x:c r="H180" s="88" t="b">
        <x:v>1</x:v>
      </x:c>
      <x:c r="I180" s="87" t="n">
        <x:v>0.0295260295260295</x:v>
      </x:c>
      <x:c r="J180" s="17" t="b">
        <x:v>0</x:v>
      </x:c>
    </x:row>
    <x:row r="181">
      <x:c r="A181" t="str">
        <x:v>VISli</x:v>
      </x:c>
      <x:c r="B181" t="str">
        <x:v>Isocortex</x:v>
      </x:c>
      <x:c r="C181" t="n">
        <x:v>8</x:v>
      </x:c>
      <x:c r="D181" t="n">
        <x:v>83</x:v>
      </x:c>
      <x:c r="E181" s="40" t="n">
        <x:v>1.881610847934718</x:v>
      </x:c>
      <x:c r="F181" s="40" t="n">
        <x:v>54.519351914960446</x:v>
      </x:c>
      <x:c r="G181" s="87" t="n">
        <x:v>0.0019980019980019</x:v>
      </x:c>
      <x:c r="H181" s="88" t="b">
        <x:v>1</x:v>
      </x:c>
      <x:c r="I181" s="87" t="n">
        <x:v>0.0120788302606484</x:v>
      </x:c>
      <x:c r="J181" s="17" t="b">
        <x:v>0</x:v>
      </x:c>
    </x:row>
    <x:row r="182">
      <x:c r="A182" t="str">
        <x:v>VISp</x:v>
      </x:c>
      <x:c r="B182" t="str">
        <x:v>Isocortex</x:v>
      </x:c>
      <x:c r="C182" t="n">
        <x:v>51</x:v>
      </x:c>
      <x:c r="D182" t="n">
        <x:v>880</x:v>
      </x:c>
      <x:c r="E182" s="40" t="n">
        <x:v>2.987100887907539</x:v>
      </x:c>
      <x:c r="F182" s="40" t="n">
        <x:v>49.716550680310185</x:v>
      </x:c>
      <x:c r="G182" s="87" t="n">
        <x:v>0.0009990009990009</x:v>
      </x:c>
      <x:c r="H182" s="88" t="b">
        <x:v>1</x:v>
      </x:c>
      <x:c r="I182" s="87" t="n">
        <x:v>0.0066433566433566</x:v>
      </x:c>
      <x:c r="J182" s="17" t="b">
        <x:v>1</x:v>
      </x:c>
    </x:row>
    <x:row r="183">
      <x:c r="A183" t="str">
        <x:v>VISpl</x:v>
      </x:c>
      <x:c r="B183" t="str">
        <x:v>Isocortex</x:v>
      </x:c>
      <x:c r="C183" t="n">
        <x:v>6</x:v>
      </x:c>
      <x:c r="D183" t="n">
        <x:v>95</x:v>
      </x:c>
      <x:c r="E183" s="40" t="n">
        <x:v>0.8663821002057366</x:v>
      </x:c>
      <x:c r="F183" s="40" t="n">
        <x:v>12.562184675551784</x:v>
      </x:c>
      <x:c r="G183" s="87" t="n">
        <x:v>0.962037962037962</x:v>
      </x:c>
      <x:c r="H183" s="88" t="b">
        <x:v>1</x:v>
      </x:c>
      <x:c r="I183" s="87" t="n">
        <x:v>0.9814049586776858</x:v>
      </x:c>
      <x:c r="J183" s="17" t="b">
        <x:v>0</x:v>
      </x:c>
    </x:row>
    <x:row r="184">
      <x:c r="A184" t="str">
        <x:v>VISpm</x:v>
      </x:c>
      <x:c r="B184" t="str">
        <x:v>Isocortex</x:v>
      </x:c>
      <x:c r="C184" t="n">
        <x:v>12</x:v>
      </x:c>
      <x:c r="D184" t="n">
        <x:v>241</x:v>
      </x:c>
      <x:c r="E184" s="40" t="n">
        <x:v>3.1343568813431792</x:v>
      </x:c>
      <x:c r="F184" s="40" t="n">
        <x:v>64.6665412027366</x:v>
      </x:c>
      <x:c r="G184" s="87" t="n">
        <x:v>0.0009990009990009</x:v>
      </x:c>
      <x:c r="H184" s="88" t="b">
        <x:v>1</x:v>
      </x:c>
      <x:c r="I184" s="87" t="n">
        <x:v>0.0066433566433566</x:v>
      </x:c>
      <x:c r="J184" s="17" t="b">
        <x:v>1</x:v>
      </x:c>
    </x:row>
    <x:row r="185">
      <x:c r="A185" t="str">
        <x:v>VISpor</x:v>
      </x:c>
      <x:c r="B185" t="str">
        <x:v>Isocortex</x:v>
      </x:c>
      <x:c r="C185" t="n">
        <x:v>7</x:v>
      </x:c>
      <x:c r="D185" t="n">
        <x:v>99</x:v>
      </x:c>
      <x:c r="E185" s="40" t="n">
        <x:v>1.3286607427637107</x:v>
      </x:c>
      <x:c r="F185" s="40" t="n">
        <x:v>70.3205024926799</x:v>
      </x:c>
      <x:c r="G185" s="87" t="n">
        <x:v>0.1998001998001998</x:v>
      </x:c>
      <x:c r="H185" s="88" t="b">
        <x:v>1</x:v>
      </x:c>
      <x:c r="I185" s="87" t="n">
        <x:v>0.3428829235280848</x:v>
      </x:c>
      <x:c r="J185" s="17" t="b">
        <x:v>0</x:v>
      </x:c>
    </x:row>
    <x:row r="186">
      <x:c r="A186" t="str">
        <x:v>VISrl</x:v>
      </x:c>
      <x:c r="B186" t="str">
        <x:v>Isocortex</x:v>
      </x:c>
      <x:c r="C186" t="n">
        <x:v>7</x:v>
      </x:c>
      <x:c r="D186" t="n">
        <x:v>75</x:v>
      </x:c>
      <x:c r="E186" s="40" t="n">
        <x:v>1.6959350699309923</x:v>
      </x:c>
      <x:c r="F186" s="40" t="n">
        <x:v>114.67653542054336</x:v>
      </x:c>
      <x:c r="G186" s="87" t="n">
        <x:v>0.2437562437562437</x:v>
      </x:c>
      <x:c r="H186" s="88" t="b">
        <x:v>1</x:v>
      </x:c>
      <x:c r="I186" s="87" t="n">
        <x:v>0.3929646111464293</x:v>
      </x:c>
      <x:c r="J186" s="17" t="b">
        <x:v>0</x:v>
      </x:c>
    </x:row>
    <x:row r="187">
      <x:c r="A187" t="str">
        <x:v>APN</x:v>
      </x:c>
      <x:c r="B187" t="str">
        <x:v>Midbrain</x:v>
      </x:c>
      <x:c r="C187" t="n">
        <x:v>61</x:v>
      </x:c>
      <x:c r="D187" t="n">
        <x:v>1543</x:v>
      </x:c>
      <x:c r="E187" s="40" t="n">
        <x:v>4.648252749741072</x:v>
      </x:c>
      <x:c r="F187" s="40" t="n">
        <x:v>118.58711334382228</x:v>
      </x:c>
      <x:c r="G187" s="87" t="n">
        <x:v>0.0009990009990009</x:v>
      </x:c>
      <x:c r="H187" s="88" t="b">
        <x:v>1</x:v>
      </x:c>
      <x:c r="I187" s="87" t="n">
        <x:v>0.0066433566433566</x:v>
      </x:c>
      <x:c r="J187" s="17" t="b">
        <x:v>1</x:v>
      </x:c>
    </x:row>
    <x:row r="188">
      <x:c r="A188" t="str">
        <x:v>AT</x:v>
      </x:c>
      <x:c r="B188" t="str">
        <x:v>Midbrain</x:v>
      </x:c>
      <x:c r="C188" t="n">
        <x:v>2</x:v>
      </x:c>
      <x:c r="D188" t="n">
        <x:v>23</x:v>
      </x:c>
      <x:c r="E188" s="40" t="n">
        <x:v>4.58283445194497</x:v>
      </x:c>
      <x:c r="F188" s="40" t="n">
        <x:v>62.20280480799943</x:v>
      </x:c>
      <x:c r="G188" s="87" t="n">
        <x:v>0.0249750249750249</x:v>
      </x:c>
      <x:c r="H188" s="88" t="b">
        <x:v>1</x:v>
      </x:c>
      <x:c r="I188" s="87" t="n">
        <x:v>0.0706740068442196</x:v>
      </x:c>
      <x:c r="J188" s="17" t="b">
        <x:v>0</x:v>
      </x:c>
    </x:row>
    <x:row r="189">
      <x:c r="A189" t="str">
        <x:v>CLI</x:v>
      </x:c>
      <x:c r="B189" t="str">
        <x:v>Midbrain</x:v>
      </x:c>
      <x:c r="C189" t="n">
        <x:v>6</x:v>
      </x:c>
      <x:c r="D189" t="n">
        <x:v>89</x:v>
      </x:c>
      <x:c r="E189" s="40" t="n">
        <x:v>1.8500299727396456</x:v>
      </x:c>
      <x:c r="F189" s="40" t="n">
        <x:v>111.9783365515464</x:v>
      </x:c>
      <x:c r="G189" s="87" t="n">
        <x:v>0.8751248751248751</x:v>
      </x:c>
      <x:c r="H189" s="88" t="b">
        <x:v>1</x:v>
      </x:c>
      <x:c r="I189" s="87" t="n">
        <x:v>0.9305950966030018</x:v>
      </x:c>
      <x:c r="J189" s="17" t="b">
        <x:v>0</x:v>
      </x:c>
    </x:row>
    <x:row r="190">
      <x:c r="A190" t="str">
        <x:v>CUN</x:v>
      </x:c>
      <x:c r="B190" t="str">
        <x:v>Midbrain</x:v>
      </x:c>
      <x:c r="C190" t="n">
        <x:v>10</x:v>
      </x:c>
      <x:c r="D190" t="n">
        <x:v>100</x:v>
      </x:c>
      <x:c r="E190" s="40" t="n">
        <x:v>5.285449991066981</x:v>
      </x:c>
      <x:c r="F190" s="40" t="n">
        <x:v>135.37676499270543</x:v>
      </x:c>
      <x:c r="G190" s="87" t="n">
        <x:v>0.0029970029970029</x:v>
      </x:c>
      <x:c r="H190" s="88" t="b">
        <x:v>1</x:v>
      </x:c>
      <x:c r="I190" s="87" t="n">
        <x:v>0.0150415622113735</x:v>
      </x:c>
      <x:c r="J190" s="17" t="b">
        <x:v>0</x:v>
      </x:c>
    </x:row>
    <x:row r="191">
      <x:c r="A191" t="str">
        <x:v>DR</x:v>
      </x:c>
      <x:c r="B191" t="str">
        <x:v>Midbrain</x:v>
      </x:c>
      <x:c r="C191" t="n">
        <x:v>2</x:v>
      </x:c>
      <x:c r="D191" t="n">
        <x:v>42</x:v>
      </x:c>
      <x:c r="E191" s="40" t="n">
        <x:v>2.7676638540435303</x:v>
      </x:c>
      <x:c r="F191" s="40" t="n">
        <x:v>44.24327234709638</x:v>
      </x:c>
      <x:c r="G191" s="87" t="n">
        <x:v>0.1388611388611388</x:v>
      </x:c>
      <x:c r="H191" s="88" t="b">
        <x:v>1</x:v>
      </x:c>
      <x:c r="I191" s="87" t="n">
        <x:v>0.2601201615286122</x:v>
      </x:c>
      <x:c r="J191" s="17" t="b">
        <x:v>0</x:v>
      </x:c>
    </x:row>
    <x:row r="192">
      <x:c r="A192" t="str">
        <x:v>DT</x:v>
      </x:c>
      <x:c r="B192" t="str">
        <x:v>Midbrain</x:v>
      </x:c>
      <x:c r="C192" t="n">
        <x:v>2</x:v>
      </x:c>
      <x:c r="D192" t="n">
        <x:v>9</x:v>
      </x:c>
      <x:c r="E192" s="40" t="n">
        <x:v>3.640973373324092</x:v>
      </x:c>
      <x:c r="F192" s="40" t="n">
        <x:v>124.61684752201016</x:v>
      </x:c>
      <x:c r="G192" s="87" t="n">
        <x:v>0.1998001998001998</x:v>
      </x:c>
      <x:c r="H192" s="88" t="b">
        <x:v>0</x:v>
      </x:c>
      <x:c r="I192" s="87" t="n">
        <x:v>0.3428829235280848</x:v>
      </x:c>
      <x:c r="J192" s="17" t="b">
        <x:v>0</x:v>
      </x:c>
    </x:row>
    <x:row r="193">
      <x:c r="A193" t="str">
        <x:v>IC</x:v>
      </x:c>
      <x:c r="B193" t="str">
        <x:v>Midbrain</x:v>
      </x:c>
      <x:c r="C193" t="n">
        <x:v>23</x:v>
      </x:c>
      <x:c r="D193" t="n">
        <x:v>458</x:v>
      </x:c>
      <x:c r="E193" s="40" t="n">
        <x:v>2.4048259454947605</x:v>
      </x:c>
      <x:c r="F193" s="40" t="n">
        <x:v>98.728188356734</x:v>
      </x:c>
      <x:c r="G193" s="87" t="n">
        <x:v>0.0919080919080919</x:v>
      </x:c>
      <x:c r="H193" s="88" t="b">
        <x:v>1</x:v>
      </x:c>
      <x:c r="I193" s="87" t="n">
        <x:v>0.1909965034965035</x:v>
      </x:c>
      <x:c r="J193" s="17" t="b">
        <x:v>0</x:v>
      </x:c>
    </x:row>
    <x:row r="194">
      <x:c r="A194" t="str">
        <x:v>IF</x:v>
      </x:c>
      <x:c r="B194" t="str">
        <x:v>Midbrain</x:v>
      </x:c>
      <x:c r="C194" t="n">
        <x:v>1</x:v>
      </x:c>
      <x:c r="D194" t="n">
        <x:v>18</x:v>
      </x:c>
      <x:c r="E194" s="40" t="n">
        <x:v>12.455185447485842</x:v>
      </x:c>
      <x:c r="F194" s="40" t="n">
        <x:v>129.69198655025758</x:v>
      </x:c>
      <x:c r="G194" s="87" t="n">
        <x:v>0.0059940059940059</x:v>
      </x:c>
      <x:c r="H194" s="88" t="b">
        <x:v>0</x:v>
      </x:c>
      <x:c r="I194" s="87" t="n">
        <x:v>0.0257162192646063</x:v>
      </x:c>
      <x:c r="J194" s="17" t="b">
        <x:v>0</x:v>
      </x:c>
    </x:row>
    <x:row r="195">
      <x:c r="A195" t="str">
        <x:v>III</x:v>
      </x:c>
      <x:c r="B195" t="str">
        <x:v>Midbrain</x:v>
      </x:c>
      <x:c r="C195" t="n">
        <x:v>3</x:v>
      </x:c>
      <x:c r="D195" t="n">
        <x:v>7</x:v>
      </x:c>
      <x:c r="E195" s="40" t="n">
        <x:v>8.49061472488318</x:v>
      </x:c>
      <x:c r="F195" s="40" t="n">
        <x:v>16.212089035179616</x:v>
      </x:c>
      <x:c r="G195" s="87" t="n">
        <x:v>0.0219780219780219</x:v>
      </x:c>
      <x:c r="H195" s="88" t="b">
        <x:v>0</x:v>
      </x:c>
      <x:c r="I195" s="87" t="n">
        <x:v>0.0649572649572649</x:v>
      </x:c>
      <x:c r="J195" s="17" t="b">
        <x:v>0</x:v>
      </x:c>
    </x:row>
    <x:row r="196">
      <x:c r="A196" t="str">
        <x:v>IPN</x:v>
      </x:c>
      <x:c r="B196" t="str">
        <x:v>Midbrain</x:v>
      </x:c>
      <x:c r="C196" t="n">
        <x:v>2</x:v>
      </x:c>
      <x:c r="D196" t="n">
        <x:v>10</x:v>
      </x:c>
      <x:c r="E196" s="40" t="n">
        <x:v>4.461305430291872</x:v>
      </x:c>
      <x:c r="F196" s="40" t="n">
        <x:v>67.45960087322878</x:v>
      </x:c>
      <x:c r="G196" s="87" t="n">
        <x:v>0.1968031968031968</x:v>
      </x:c>
      <x:c r="H196" s="88" t="b">
        <x:v>0</x:v>
      </x:c>
      <x:c r="I196" s="87" t="n">
        <x:v>0.3421545774486951</x:v>
      </x:c>
      <x:c r="J196" s="17" t="b">
        <x:v>0</x:v>
      </x:c>
    </x:row>
    <x:row r="197">
      <x:c r="A197" t="str">
        <x:v>MRN</x:v>
      </x:c>
      <x:c r="B197" t="str">
        <x:v>Midbrain</x:v>
      </x:c>
      <x:c r="C197" t="n">
        <x:v>128</x:v>
      </x:c>
      <x:c r="D197" t="n">
        <x:v>2678</x:v>
      </x:c>
      <x:c r="E197" s="40" t="n">
        <x:v>8.339588390663248</x:v>
      </x:c>
      <x:c r="F197" s="40" t="n">
        <x:v>107.94296935678928</x:v>
      </x:c>
      <x:c r="G197" s="87" t="n">
        <x:v>0.0009990009990009</x:v>
      </x:c>
      <x:c r="H197" s="88" t="b">
        <x:v>1</x:v>
      </x:c>
      <x:c r="I197" s="87" t="n">
        <x:v>0.0066433566433566</x:v>
      </x:c>
      <x:c r="J197" s="17" t="b">
        <x:v>1</x:v>
      </x:c>
    </x:row>
    <x:row r="198">
      <x:c r="A198" t="str">
        <x:v>NB</x:v>
      </x:c>
      <x:c r="B198" t="str">
        <x:v>Midbrain</x:v>
      </x:c>
      <x:c r="C198" t="n">
        <x:v>4</x:v>
      </x:c>
      <x:c r="D198" t="n">
        <x:v>23</x:v>
      </x:c>
      <x:c r="E198" s="40" t="n">
        <x:v>7.391691213930212</x:v>
      </x:c>
      <x:c r="F198" s="40" t="n">
        <x:v>51.88807948851842</x:v>
      </x:c>
      <x:c r="G198" s="87" t="n">
        <x:v>0.0229770229770229</x:v>
      </x:c>
      <x:c r="H198" s="88" t="b">
        <x:v>1</x:v>
      </x:c>
      <x:c r="I198" s="87" t="n">
        <x:v>0.0664335664335664</x:v>
      </x:c>
      <x:c r="J198" s="17" t="b">
        <x:v>0</x:v>
      </x:c>
    </x:row>
    <x:row r="199">
      <x:c r="A199" t="str">
        <x:v>NOT</x:v>
      </x:c>
      <x:c r="B199" t="str">
        <x:v>Midbrain</x:v>
      </x:c>
      <x:c r="C199" t="n">
        <x:v>21</x:v>
      </x:c>
      <x:c r="D199" t="n">
        <x:v>92</x:v>
      </x:c>
      <x:c r="E199" s="40" t="n">
        <x:v>6.462915296960579</x:v>
      </x:c>
      <x:c r="F199" s="40" t="n">
        <x:v>45.23346145359106</x:v>
      </x:c>
      <x:c r="G199" s="87" t="n">
        <x:v>0.0009990009990009</x:v>
      </x:c>
      <x:c r="H199" s="88" t="b">
        <x:v>1</x:v>
      </x:c>
      <x:c r="I199" s="87" t="n">
        <x:v>0.0066433566433566</x:v>
      </x:c>
      <x:c r="J199" s="17" t="b">
        <x:v>1</x:v>
      </x:c>
    </x:row>
    <x:row r="200">
      <x:c r="A200" t="str">
        <x:v>NPC</x:v>
      </x:c>
      <x:c r="B200" t="str">
        <x:v>Midbrain</x:v>
      </x:c>
      <x:c r="C200" t="n">
        <x:v>12</x:v>
      </x:c>
      <x:c r="D200" t="n">
        <x:v>71</x:v>
      </x:c>
      <x:c r="E200" s="40" t="n">
        <x:v>7.159619150558562</x:v>
      </x:c>
      <x:c r="F200" s="40" t="n">
        <x:v>117.32177507635572</x:v>
      </x:c>
      <x:c r="G200" s="87" t="n">
        <x:v>0.0249750249750249</x:v>
      </x:c>
      <x:c r="H200" s="88" t="b">
        <x:v>1</x:v>
      </x:c>
      <x:c r="I200" s="87" t="n">
        <x:v>0.0706740068442196</x:v>
      </x:c>
      <x:c r="J200" s="17" t="b">
        <x:v>0</x:v>
      </x:c>
    </x:row>
    <x:row r="201">
      <x:c r="A201" t="str">
        <x:v>OP</x:v>
      </x:c>
      <x:c r="B201" t="str">
        <x:v>Midbrain</x:v>
      </x:c>
      <x:c r="C201" t="n">
        <x:v>5</x:v>
      </x:c>
      <x:c r="D201" t="n">
        <x:v>39</x:v>
      </x:c>
      <x:c r="E201" s="40" t="n">
        <x:v>8.153922794418996</x:v>
      </x:c>
      <x:c r="F201" s="40" t="n">
        <x:v>49.38959010142936</x:v>
      </x:c>
      <x:c r="G201" s="87" t="n">
        <x:v>0.0059940059940059</x:v>
      </x:c>
      <x:c r="H201" s="88" t="b">
        <x:v>1</x:v>
      </x:c>
      <x:c r="I201" s="87" t="n">
        <x:v>0.0257162192646063</x:v>
      </x:c>
      <x:c r="J201" s="17" t="b">
        <x:v>0</x:v>
      </x:c>
    </x:row>
    <x:row r="202">
      <x:c r="A202" t="str">
        <x:v>PAG</x:v>
      </x:c>
      <x:c r="B202" t="str">
        <x:v>Midbrain</x:v>
      </x:c>
      <x:c r="C202" t="n">
        <x:v>50</x:v>
      </x:c>
      <x:c r="D202" t="n">
        <x:v>733</x:v>
      </x:c>
      <x:c r="E202" s="40" t="n">
        <x:v>2.740601668822335</x:v>
      </x:c>
      <x:c r="F202" s="40" t="n">
        <x:v>101.17336139062796</x:v>
      </x:c>
      <x:c r="G202" s="87" t="n">
        <x:v>0.0009990009990009</x:v>
      </x:c>
      <x:c r="H202" s="88" t="b">
        <x:v>1</x:v>
      </x:c>
      <x:c r="I202" s="87" t="n">
        <x:v>0.0066433566433566</x:v>
      </x:c>
      <x:c r="J202" s="17" t="b">
        <x:v>1</x:v>
      </x:c>
    </x:row>
    <x:row r="203">
      <x:c r="A203" t="str">
        <x:v>PBG</x:v>
      </x:c>
      <x:c r="B203" t="str">
        <x:v>Midbrain</x:v>
      </x:c>
      <x:c r="C203" t="n">
        <x:v>3</x:v>
      </x:c>
      <x:c r="D203" t="n">
        <x:v>14</x:v>
      </x:c>
      <x:c r="E203" s="40" t="n">
        <x:v>11.716496550630191</x:v>
      </x:c>
      <x:c r="F203" s="40" t="n">
        <x:v>43.73173526064239</x:v>
      </x:c>
      <x:c r="G203" s="87" t="n">
        <x:v>0.0109890109890109</x:v>
      </x:c>
      <x:c r="H203" s="88" t="b">
        <x:v>0</x:v>
      </x:c>
      <x:c r="I203" s="87" t="n">
        <x:v>0.0405982905982906</x:v>
      </x:c>
      <x:c r="J203" s="17" t="b">
        <x:v>0</x:v>
      </x:c>
    </x:row>
    <x:row r="204">
      <x:c r="A204" t="str">
        <x:v>PPN</x:v>
      </x:c>
      <x:c r="B204" t="str">
        <x:v>Midbrain</x:v>
      </x:c>
      <x:c r="C204" t="n">
        <x:v>19</x:v>
      </x:c>
      <x:c r="D204" t="n">
        <x:v>369</x:v>
      </x:c>
      <x:c r="E204" s="40" t="n">
        <x:v>4.52591561816188</x:v>
      </x:c>
      <x:c r="F204" s="40" t="n">
        <x:v>127.73737319364908</x:v>
      </x:c>
      <x:c r="G204" s="87" t="n">
        <x:v>0.0009990009990009</x:v>
      </x:c>
      <x:c r="H204" s="88" t="b">
        <x:v>1</x:v>
      </x:c>
      <x:c r="I204" s="87" t="n">
        <x:v>0.0066433566433566</x:v>
      </x:c>
      <x:c r="J204" s="17" t="b">
        <x:v>1</x:v>
      </x:c>
    </x:row>
    <x:row r="205">
      <x:c r="A205" t="str">
        <x:v>PPT</x:v>
      </x:c>
      <x:c r="B205" t="str">
        <x:v>Midbrain</x:v>
      </x:c>
      <x:c r="C205" t="n">
        <x:v>12</x:v>
      </x:c>
      <x:c r="D205" t="n">
        <x:v>70</x:v>
      </x:c>
      <x:c r="E205" s="40" t="n">
        <x:v>5.790304731505114</x:v>
      </x:c>
      <x:c r="F205" s="40" t="n">
        <x:v>49.04455735505068</x:v>
      </x:c>
      <x:c r="G205" s="87" t="n">
        <x:v>0.2457542457542457</x:v>
      </x:c>
      <x:c r="H205" s="88" t="b">
        <x:v>1</x:v>
      </x:c>
      <x:c r="I205" s="87" t="n">
        <x:v>0.3937989721122251</x:v>
      </x:c>
      <x:c r="J205" s="17" t="b">
        <x:v>0</x:v>
      </x:c>
    </x:row>
    <x:row r="206">
      <x:c r="A206" t="str">
        <x:v>Pa4</x:v>
      </x:c>
      <x:c r="B206" t="str">
        <x:v>Midbrain</x:v>
      </x:c>
      <x:c r="C206" t="n">
        <x:v>1</x:v>
      </x:c>
      <x:c r="D206" t="n">
        <x:v>3</x:v>
      </x:c>
      <x:c r="E206" s="40" t="n">
        <x:v>10.553344607125164</x:v>
      </x:c>
      <x:c r="F206" s="40" t="n">
        <x:v>115.65158218905977</x:v>
      </x:c>
      <x:c r="G206" s="87" t="n">
        <x:v>0.3156843156843157</x:v>
      </x:c>
      <x:c r="H206" s="88" t="b">
        <x:v>0</x:v>
      </x:c>
      <x:c r="I206" s="87" t="n">
        <x:v>0.4706020236746494</x:v>
      </x:c>
      <x:c r="J206" s="17" t="b">
        <x:v>0</x:v>
      </x:c>
    </x:row>
    <x:row r="207">
      <x:c r="A207" t="str">
        <x:v>RL</x:v>
      </x:c>
      <x:c r="B207" t="str">
        <x:v>Midbrain</x:v>
      </x:c>
      <x:c r="C207" t="n">
        <x:v>1</x:v>
      </x:c>
      <x:c r="D207" t="n">
        <x:v>12</x:v>
      </x:c>
      <x:c r="E207" s="40" t="n">
        <x:v>4.337856985358534</x:v>
      </x:c>
      <x:c r="F207" s="40" t="n">
        <x:v>137.57024785649844</x:v>
      </x:c>
      <x:c r="G207" s="87" t="n">
        <x:v>0.0889110889110889</x:v>
      </x:c>
      <x:c r="H207" s="88" t="b">
        <x:v>0</x:v>
      </x:c>
      <x:c r="I207" s="87" t="n">
        <x:v>0.1862232255933043</x:v>
      </x:c>
      <x:c r="J207" s="17" t="b">
        <x:v>0</x:v>
      </x:c>
    </x:row>
    <x:row r="208">
      <x:c r="A208" t="str">
        <x:v>RN</x:v>
      </x:c>
      <x:c r="B208" t="str">
        <x:v>Midbrain</x:v>
      </x:c>
      <x:c r="C208" t="n">
        <x:v>22</x:v>
      </x:c>
      <x:c r="D208" t="n">
        <x:v>429</x:v>
      </x:c>
      <x:c r="E208" s="40" t="n">
        <x:v>7.91112483831332</x:v>
      </x:c>
      <x:c r="F208" s="40" t="n">
        <x:v>106.83802215696495</x:v>
      </x:c>
      <x:c r="G208" s="87" t="n">
        <x:v>0.1598401598401598</x:v>
      </x:c>
      <x:c r="H208" s="88" t="b">
        <x:v>1</x:v>
      </x:c>
      <x:c r="I208" s="87" t="n">
        <x:v>0.2948558291024044</x:v>
      </x:c>
      <x:c r="J208" s="17" t="b">
        <x:v>0</x:v>
      </x:c>
    </x:row>
    <x:row r="209">
      <x:c r="A209" t="str">
        <x:v>RPF</x:v>
      </x:c>
      <x:c r="B209" t="str">
        <x:v>Midbrain</x:v>
      </x:c>
      <x:c r="C209" t="n">
        <x:v>4</x:v>
      </x:c>
      <x:c r="D209" t="n">
        <x:v>42</x:v>
      </x:c>
      <x:c r="E209" s="40" t="n">
        <x:v>8.298702110375606</x:v>
      </x:c>
      <x:c r="F209" s="40" t="n">
        <x:v>128.39281865148394</x:v>
      </x:c>
      <x:c r="G209" s="87" t="n">
        <x:v>0.0189810189810189</x:v>
      </x:c>
      <x:c r="H209" s="88" t="b">
        <x:v>1</x:v>
      </x:c>
      <x:c r="I209" s="87" t="n">
        <x:v>0.0608307355295307</x:v>
      </x:c>
      <x:c r="J209" s="17" t="b">
        <x:v>0</x:v>
      </x:c>
    </x:row>
    <x:row r="210">
      <x:c r="A210" t="str">
        <x:v>RR</x:v>
      </x:c>
      <x:c r="B210" t="str">
        <x:v>Midbrain</x:v>
      </x:c>
      <x:c r="C210" t="n">
        <x:v>6</x:v>
      </x:c>
      <x:c r="D210" t="n">
        <x:v>60</x:v>
      </x:c>
      <x:c r="E210" s="40" t="n">
        <x:v>2.667324596474012</x:v>
      </x:c>
      <x:c r="F210" s="40" t="n">
        <x:v>110.14463316694854</x:v>
      </x:c>
      <x:c r="G210" s="87" t="n">
        <x:v>0.0099900099900099</x:v>
      </x:c>
      <x:c r="H210" s="88" t="b">
        <x:v>1</x:v>
      </x:c>
      <x:c r="I210" s="87" t="n">
        <x:v>0.0385122124252559</x:v>
      </x:c>
      <x:c r="J210" s="17" t="b">
        <x:v>0</x:v>
      </x:c>
    </x:row>
    <x:row r="211">
      <x:c r="A211" t="str">
        <x:v>SAG</x:v>
      </x:c>
      <x:c r="B211" t="str">
        <x:v>Midbrain</x:v>
      </x:c>
      <x:c r="C211" t="n">
        <x:v>4</x:v>
      </x:c>
      <x:c r="D211" t="n">
        <x:v>51</x:v>
      </x:c>
      <x:c r="E211" s="40" t="n">
        <x:v>4.865878994203082</x:v>
      </x:c>
      <x:c r="F211" s="40" t="n">
        <x:v>50.24097553161115</x:v>
      </x:c>
      <x:c r="G211" s="87" t="n">
        <x:v>0.0159840159840159</x:v>
      </x:c>
      <x:c r="H211" s="88" t="b">
        <x:v>1</x:v>
      </x:c>
      <x:c r="I211" s="87" t="n">
        <x:v>0.0531468531468531</x:v>
      </x:c>
      <x:c r="J211" s="17" t="b">
        <x:v>0</x:v>
      </x:c>
    </x:row>
    <x:row r="212">
      <x:c r="A212" t="str">
        <x:v>SCm</x:v>
      </x:c>
      <x:c r="B212" t="str">
        <x:v>Midbrain</x:v>
      </x:c>
      <x:c r="C212" t="n">
        <x:v>72</x:v>
      </x:c>
      <x:c r="D212" t="n">
        <x:v>1666</x:v>
      </x:c>
      <x:c r="E212" s="40" t="n">
        <x:v>6.597514286745147</x:v>
      </x:c>
      <x:c r="F212" s="40" t="n">
        <x:v>111.37609020477896</x:v>
      </x:c>
      <x:c r="G212" s="87" t="n">
        <x:v>0.0009990009990009</x:v>
      </x:c>
      <x:c r="H212" s="88" t="b">
        <x:v>1</x:v>
      </x:c>
      <x:c r="I212" s="87" t="n">
        <x:v>0.0066433566433566</x:v>
      </x:c>
      <x:c r="J212" s="17" t="b">
        <x:v>1</x:v>
      </x:c>
    </x:row>
    <x:row r="213">
      <x:c r="A213" t="str">
        <x:v>SCs</x:v>
      </x:c>
      <x:c r="B213" t="str">
        <x:v>Midbrain</x:v>
      </x:c>
      <x:c r="C213" t="n">
        <x:v>24</x:v>
      </x:c>
      <x:c r="D213" t="n">
        <x:v>185</x:v>
      </x:c>
      <x:c r="E213" s="40" t="n">
        <x:v>1.8561389063711111</x:v>
      </x:c>
      <x:c r="F213" s="40" t="n">
        <x:v>44.22272462002641</x:v>
      </x:c>
      <x:c r="G213" s="87" t="n">
        <x:v>0.0079920079920079</x:v>
      </x:c>
      <x:c r="H213" s="88" t="b">
        <x:v>1</x:v>
      </x:c>
      <x:c r="I213" s="87" t="n">
        <x:v>0.0327057557826788</x:v>
      </x:c>
      <x:c r="J213" s="17" t="b">
        <x:v>0</x:v>
      </x:c>
    </x:row>
    <x:row r="214">
      <x:c r="A214" t="str">
        <x:v>SNc</x:v>
      </x:c>
      <x:c r="B214" t="str">
        <x:v>Midbrain</x:v>
      </x:c>
      <x:c r="C214" t="n">
        <x:v>7</x:v>
      </x:c>
      <x:c r="D214" t="n">
        <x:v>36</x:v>
      </x:c>
      <x:c r="E214" s="40" t="n">
        <x:v>6.354288563594749</x:v>
      </x:c>
      <x:c r="F214" s="40" t="n">
        <x:v>61.109872175796525</x:v>
      </x:c>
      <x:c r="G214" s="87" t="n">
        <x:v>0.0389610389610389</x:v>
      </x:c>
      <x:c r="H214" s="88" t="b">
        <x:v>1</x:v>
      </x:c>
      <x:c r="I214" s="87" t="n">
        <x:v>0.0959595959595959</x:v>
      </x:c>
      <x:c r="J214" s="17" t="b">
        <x:v>0</x:v>
      </x:c>
    </x:row>
    <x:row r="215">
      <x:c r="A215" t="str">
        <x:v>SNr</x:v>
      </x:c>
      <x:c r="B215" t="str">
        <x:v>Midbrain</x:v>
      </x:c>
      <x:c r="C215" t="n">
        <x:v>19</x:v>
      </x:c>
      <x:c r="D215" t="n">
        <x:v>149</x:v>
      </x:c>
      <x:c r="E215" s="40" t="n">
        <x:v>13.190895711870189</x:v>
      </x:c>
      <x:c r="F215" s="40" t="n">
        <x:v>112.1771007598864</x:v>
      </x:c>
      <x:c r="G215" s="87" t="n">
        <x:v>0.0009990009990009</x:v>
      </x:c>
      <x:c r="H215" s="88" t="b">
        <x:v>1</x:v>
      </x:c>
      <x:c r="I215" s="87" t="n">
        <x:v>0.0066433566433566</x:v>
      </x:c>
      <x:c r="J215" s="17" t="b">
        <x:v>1</x:v>
      </x:c>
    </x:row>
    <x:row r="216">
      <x:c r="A216" t="str">
        <x:v>VTA</x:v>
      </x:c>
      <x:c r="B216" t="str">
        <x:v>Midbrain</x:v>
      </x:c>
      <x:c r="C216" t="n">
        <x:v>7</x:v>
      </x:c>
      <x:c r="D216" t="n">
        <x:v>17</x:v>
      </x:c>
      <x:c r="E216" s="40" t="n">
        <x:v>6.594670410863201</x:v>
      </x:c>
      <x:c r="F216" s="40" t="n">
        <x:v>128.39027079861592</x:v>
      </x:c>
      <x:c r="G216" s="87" t="n">
        <x:v>0.1058941058941058</x:v>
      </x:c>
      <x:c r="H216" s="88" t="b">
        <x:v>0</x:v>
      </x:c>
      <x:c r="I216" s="87" t="n">
        <x:v>0.2071164129987659</x:v>
      </x:c>
      <x:c r="J216" s="17" t="b">
        <x:v>0</x:v>
      </x:c>
    </x:row>
    <x:row r="217">
      <x:c r="A217" t="str">
        <x:v>VTN</x:v>
      </x:c>
      <x:c r="B217" t="str">
        <x:v>Midbrain</x:v>
      </x:c>
      <x:c r="C217" t="n">
        <x:v>2</x:v>
      </x:c>
      <x:c r="D217" t="n">
        <x:v>11</x:v>
      </x:c>
      <x:c r="E217" s="40" t="n">
        <x:v>6.2197904267280135</x:v>
      </x:c>
      <x:c r="F217" s="40" t="n">
        <x:v>122.95221764339044</x:v>
      </x:c>
      <x:c r="G217" s="87" t="n">
        <x:v>0.2227772227772227</x:v>
      </x:c>
      <x:c r="H217" s="88" t="b">
        <x:v>0</x:v>
      </x:c>
      <x:c r="I217" s="87" t="n">
        <x:v>0.3726964859040331</x:v>
      </x:c>
      <x:c r="J217" s="17" t="b">
        <x:v>0</x:v>
      </x:c>
    </x:row>
    <x:row r="218">
      <x:c r="A218" t="str">
        <x:v>AON</x:v>
      </x:c>
      <x:c r="B218" t="str">
        <x:v>Olfactory areas</x:v>
      </x:c>
      <x:c r="C218" t="n">
        <x:v>15</x:v>
      </x:c>
      <x:c r="D218" t="n">
        <x:v>428</x:v>
      </x:c>
      <x:c r="E218" s="40" t="n">
        <x:v>1.6817279325396592</x:v>
      </x:c>
      <x:c r="F218" s="40" t="n">
        <x:v>120.983869970683</x:v>
      </x:c>
      <x:c r="G218" s="87" t="n">
        <x:v>0.0519480519480519</x:v>
      </x:c>
      <x:c r="H218" s="88" t="b">
        <x:v>1</x:v>
      </x:c>
      <x:c r="I218" s="87" t="n">
        <x:v>0.1191222570532915</x:v>
      </x:c>
      <x:c r="J218" s="17" t="b">
        <x:v>0</x:v>
      </x:c>
    </x:row>
    <x:row r="219">
      <x:c r="A219" t="str">
        <x:v>COAa</x:v>
      </x:c>
      <x:c r="B219" t="str">
        <x:v>Olfactory areas</x:v>
      </x:c>
      <x:c r="C219" t="n">
        <x:v>2</x:v>
      </x:c>
      <x:c r="D219" t="n">
        <x:v>17</x:v>
      </x:c>
      <x:c r="E219" s="40" t="n">
        <x:v>1.6173829048430168</x:v>
      </x:c>
      <x:c r="F219" s="40" t="n">
        <x:v>138.12422777988576</x:v>
      </x:c>
      <x:c r="G219" s="87" t="n">
        <x:v>0.7242757242757243</x:v>
      </x:c>
      <x:c r="H219" s="88" t="b">
        <x:v>0</x:v>
      </x:c>
      <x:c r="I219" s="87" t="n">
        <x:v>0.8027389277389277</x:v>
      </x:c>
      <x:c r="J219" s="17" t="b">
        <x:v>0</x:v>
      </x:c>
    </x:row>
    <x:row r="220">
      <x:c r="A220" t="str">
        <x:v>COAp</x:v>
      </x:c>
      <x:c r="B220" t="str">
        <x:v>Olfactory areas</x:v>
      </x:c>
      <x:c r="C220" t="n">
        <x:v>15</x:v>
      </x:c>
      <x:c r="D220" t="n">
        <x:v>121</x:v>
      </x:c>
      <x:c r="E220" s="40" t="n">
        <x:v>1.0201808353749842</x:v>
      </x:c>
      <x:c r="F220" s="40" t="n">
        <x:v>118.79153323771662</x:v>
      </x:c>
      <x:c r="G220" s="87" t="n">
        <x:v>0.7112887112887113</x:v>
      </x:c>
      <x:c r="H220" s="88" t="b">
        <x:v>1</x:v>
      </x:c>
      <x:c r="I220" s="87" t="n">
        <x:v>0.7916435029405741</x:v>
      </x:c>
      <x:c r="J220" s="17" t="b">
        <x:v>0</x:v>
      </x:c>
    </x:row>
    <x:row r="221">
      <x:c r="A221" t="str">
        <x:v>DP</x:v>
      </x:c>
      <x:c r="B221" t="str">
        <x:v>Olfactory areas</x:v>
      </x:c>
      <x:c r="C221" t="n">
        <x:v>15</x:v>
      </x:c>
      <x:c r="D221" t="n">
        <x:v>318</x:v>
      </x:c>
      <x:c r="E221" s="40" t="n">
        <x:v>0.3762196848355681</x:v>
      </x:c>
      <x:c r="F221" s="40" t="n">
        <x:v>97.28289952202574</x:v>
      </x:c>
      <x:c r="G221" s="87" t="n">
        <x:v>0.968031968031968</x:v>
      </x:c>
      <x:c r="H221" s="88" t="b">
        <x:v>1</x:v>
      </x:c>
      <x:c r="I221" s="87" t="n">
        <x:v>0.9814049586776858</x:v>
      </x:c>
      <x:c r="J221" s="17" t="b">
        <x:v>0</x:v>
      </x:c>
    </x:row>
    <x:row r="222">
      <x:c r="A222" t="str">
        <x:v>MOB</x:v>
      </x:c>
      <x:c r="B222" t="str">
        <x:v>Olfactory areas</x:v>
      </x:c>
      <x:c r="C222" t="n">
        <x:v>3</x:v>
      </x:c>
      <x:c r="D222" t="n">
        <x:v>140</x:v>
      </x:c>
      <x:c r="E222" s="40" t="n">
        <x:v>1.0561120043682657</x:v>
      </x:c>
      <x:c r="F222" s="40" t="n">
        <x:v>12</x:v>
      </x:c>
      <x:c r="G222" s="87" t="n">
        <x:v>0.3166833166833167</x:v>
      </x:c>
      <x:c r="H222" s="88" t="b">
        <x:v>1</x:v>
      </x:c>
      <x:c r="I222" s="87" t="n">
        <x:v>0.4706020236746494</x:v>
      </x:c>
      <x:c r="J222" s="17" t="b">
        <x:v>0</x:v>
      </x:c>
    </x:row>
    <x:row r="223">
      <x:c r="A223" t="str">
        <x:v>PAA</x:v>
      </x:c>
      <x:c r="B223" t="str">
        <x:v>Olfactory areas</x:v>
      </x:c>
      <x:c r="C223" t="n">
        <x:v>4</x:v>
      </x:c>
      <x:c r="D223" t="n">
        <x:v>82</x:v>
      </x:c>
      <x:c r="E223" s="40" t="n">
        <x:v>0.672142565768683</x:v>
      </x:c>
      <x:c r="F223" s="40" t="n">
        <x:v>20.441260308121432</x:v>
      </x:c>
      <x:c r="G223" s="87" t="n">
        <x:v>0.3306693306693307</x:v>
      </x:c>
      <x:c r="H223" s="88" t="b">
        <x:v>1</x:v>
      </x:c>
      <x:c r="I223" s="87" t="n">
        <x:v>0.4859560329173589</x:v>
      </x:c>
      <x:c r="J223" s="17" t="b">
        <x:v>0</x:v>
      </x:c>
    </x:row>
    <x:row r="224">
      <x:c r="A224" t="str">
        <x:v>PIR</x:v>
      </x:c>
      <x:c r="B224" t="str">
        <x:v>Olfactory areas</x:v>
      </x:c>
      <x:c r="C224" t="n">
        <x:v>29</x:v>
      </x:c>
      <x:c r="D224" t="n">
        <x:v>614</x:v>
      </x:c>
      <x:c r="E224" s="40" t="n">
        <x:v>0.3793828604238185</x:v>
      </x:c>
      <x:c r="F224" s="40" t="n">
        <x:v>14.11824925142343</x:v>
      </x:c>
      <x:c r="G224" s="87" t="n">
        <x:v>0.7112887112887113</x:v>
      </x:c>
      <x:c r="H224" s="88" t="b">
        <x:v>1</x:v>
      </x:c>
      <x:c r="I224" s="87" t="n">
        <x:v>0.7916435029405741</x:v>
      </x:c>
      <x:c r="J224" s="17" t="b">
        <x:v>0</x:v>
      </x:c>
    </x:row>
    <x:row r="225">
      <x:c r="A225" t="str">
        <x:v>TR</x:v>
      </x:c>
      <x:c r="B225" t="str">
        <x:v>Olfactory areas</x:v>
      </x:c>
      <x:c r="C225" t="n">
        <x:v>5</x:v>
      </x:c>
      <x:c r="D225" t="n">
        <x:v>37</x:v>
      </x:c>
      <x:c r="E225" s="40" t="n">
        <x:v>0.8687423304210031</x:v>
      </x:c>
      <x:c r="F225" s="40" t="n">
        <x:v>34.177914694435536</x:v>
      </x:c>
      <x:c r="G225" s="87" t="n">
        <x:v>0.972027972027972</x:v>
      </x:c>
      <x:c r="H225" s="88" t="b">
        <x:v>1</x:v>
      </x:c>
      <x:c r="I225" s="87" t="n">
        <x:v>0.9814049586776858</x:v>
      </x:c>
      <x:c r="J225" s="17" t="b">
        <x:v>0</x:v>
      </x:c>
    </x:row>
    <x:row r="226">
      <x:c r="A226" t="str">
        <x:v>TTd</x:v>
      </x:c>
      <x:c r="B226" t="str">
        <x:v>Olfactory areas</x:v>
      </x:c>
      <x:c r="C226" t="n">
        <x:v>12</x:v>
      </x:c>
      <x:c r="D226" t="n">
        <x:v>270</x:v>
      </x:c>
      <x:c r="E226" s="40" t="n">
        <x:v>0.7270644077400199</x:v>
      </x:c>
      <x:c r="F226" s="40" t="n">
        <x:v>101.53513267284087</x:v>
      </x:c>
      <x:c r="G226" s="87" t="n">
        <x:v>0.1798201798201798</x:v>
      </x:c>
      <x:c r="H226" s="88" t="b">
        <x:v>1</x:v>
      </x:c>
      <x:c r="I226" s="87" t="n">
        <x:v>0.3146853146853146</x:v>
      </x:c>
      <x:c r="J226" s="17" t="b">
        <x:v>0</x:v>
      </x:c>
    </x:row>
    <x:row r="227">
      <x:c r="A227" t="str">
        <x:v>AD</x:v>
      </x:c>
      <x:c r="B227" t="str">
        <x:v>Thalamus</x:v>
      </x:c>
      <x:c r="C227" t="n">
        <x:v>3</x:v>
      </x:c>
      <x:c r="D227" t="n">
        <x:v>15</x:v>
      </x:c>
      <x:c r="E227" s="40" t="n">
        <x:v>5.197864202056312</x:v>
      </x:c>
      <x:c r="F227" s="40" t="n">
        <x:v>81.91767007521442</x:v>
      </x:c>
      <x:c r="G227" s="87" t="n">
        <x:v>0.1358641358641358</x:v>
      </x:c>
      <x:c r="H227" s="88" t="b">
        <x:v>0</x:v>
      </x:c>
      <x:c r="I227" s="87" t="n">
        <x:v>0.2563110648217031</x:v>
      </x:c>
      <x:c r="J227" s="17" t="b">
        <x:v>0</x:v>
      </x:c>
    </x:row>
    <x:row r="228">
      <x:c r="A228" t="str">
        <x:v>AM</x:v>
      </x:c>
      <x:c r="B228" t="str">
        <x:v>Thalamus</x:v>
      </x:c>
      <x:c r="C228" t="n">
        <x:v>8</x:v>
      </x:c>
      <x:c r="D228" t="n">
        <x:v>128</x:v>
      </x:c>
      <x:c r="E228" s="40" t="n">
        <x:v>1.4727799733377518</x:v>
      </x:c>
      <x:c r="F228" s="40" t="n">
        <x:v>119.82442817773207</x:v>
      </x:c>
      <x:c r="G228" s="87" t="n">
        <x:v>0.0549450549450549</x:v>
      </x:c>
      <x:c r="H228" s="88" t="b">
        <x:v>1</x:v>
      </x:c>
      <x:c r="I228" s="87" t="n">
        <x:v>0.1249178172255095</x:v>
      </x:c>
      <x:c r="J228" s="17" t="b">
        <x:v>0</x:v>
      </x:c>
    </x:row>
    <x:row r="229">
      <x:c r="A229" t="str">
        <x:v>AV</x:v>
      </x:c>
      <x:c r="B229" t="str">
        <x:v>Thalamus</x:v>
      </x:c>
      <x:c r="C229" t="n">
        <x:v>9</x:v>
      </x:c>
      <x:c r="D229" t="n">
        <x:v>203</x:v>
      </x:c>
      <x:c r="E229" s="40" t="n">
        <x:v>1.5270565561227571</x:v>
      </x:c>
      <x:c r="F229" s="40" t="n">
        <x:v>97.11381809147616</x:v>
      </x:c>
      <x:c r="G229" s="87" t="n">
        <x:v>0.0199800199800199</x:v>
      </x:c>
      <x:c r="H229" s="88" t="b">
        <x:v>1</x:v>
      </x:c>
      <x:c r="I229" s="87" t="n">
        <x:v>0.0617986664498292</x:v>
      </x:c>
      <x:c r="J229" s="17" t="b">
        <x:v>0</x:v>
      </x:c>
    </x:row>
    <x:row r="230">
      <x:c r="A230" t="str">
        <x:v>CL</x:v>
      </x:c>
      <x:c r="B230" t="str">
        <x:v>Thalamus</x:v>
      </x:c>
      <x:c r="C230" t="n">
        <x:v>9</x:v>
      </x:c>
      <x:c r="D230" t="n">
        <x:v>38</x:v>
      </x:c>
      <x:c r="E230" s="40" t="n">
        <x:v>7.038790064362532</x:v>
      </x:c>
      <x:c r="F230" s="40" t="n">
        <x:v>81.21672103963965</x:v>
      </x:c>
      <x:c r="G230" s="87" t="n">
        <x:v>0.0009990009990009</x:v>
      </x:c>
      <x:c r="H230" s="88" t="b">
        <x:v>1</x:v>
      </x:c>
      <x:c r="I230" s="87" t="n">
        <x:v>0.0066433566433566</x:v>
      </x:c>
      <x:c r="J230" s="17" t="b">
        <x:v>1</x:v>
      </x:c>
    </x:row>
    <x:row r="231">
      <x:c r="A231" t="str">
        <x:v>CM</x:v>
      </x:c>
      <x:c r="B231" t="str">
        <x:v>Thalamus</x:v>
      </x:c>
      <x:c r="C231" t="n">
        <x:v>6</x:v>
      </x:c>
      <x:c r="D231" t="n">
        <x:v>65</x:v>
      </x:c>
      <x:c r="E231" s="40" t="n">
        <x:v>3.0058529736902617</x:v>
      </x:c>
      <x:c r="F231" s="40" t="n">
        <x:v>104.85776119389747</x:v>
      </x:c>
      <x:c r="G231" s="87" t="n">
        <x:v>0.3036963036963037</x:v>
      </x:c>
      <x:c r="H231" s="88" t="b">
        <x:v>1</x:v>
      </x:c>
      <x:c r="I231" s="87" t="n">
        <x:v>0.4579036782426613</x:v>
      </x:c>
      <x:c r="J231" s="17" t="b">
        <x:v>0</x:v>
      </x:c>
    </x:row>
    <x:row r="232">
      <x:c r="A232" t="str">
        <x:v>Eth</x:v>
      </x:c>
      <x:c r="B232" t="str">
        <x:v>Thalamus</x:v>
      </x:c>
      <x:c r="C232" t="n">
        <x:v>20</x:v>
      </x:c>
      <x:c r="D232" t="n">
        <x:v>366</x:v>
      </x:c>
      <x:c r="E232" s="40" t="n">
        <x:v>1.965791748014864</x:v>
      </x:c>
      <x:c r="F232" s="40" t="n">
        <x:v>132.58367748965833</x:v>
      </x:c>
      <x:c r="G232" s="87" t="n">
        <x:v>0.0449550449550449</x:v>
      </x:c>
      <x:c r="H232" s="88" t="b">
        <x:v>1</x:v>
      </x:c>
      <x:c r="I232" s="87" t="n">
        <x:v>0.1058233801596633</x:v>
      </x:c>
      <x:c r="J232" s="17" t="b">
        <x:v>0</x:v>
      </x:c>
    </x:row>
    <x:row r="233">
      <x:c r="A233" t="str">
        <x:v>IAD</x:v>
      </x:c>
      <x:c r="B233" t="str">
        <x:v>Thalamus</x:v>
      </x:c>
      <x:c r="C233" t="n">
        <x:v>2</x:v>
      </x:c>
      <x:c r="D233" t="n">
        <x:v>23</x:v>
      </x:c>
      <x:c r="E233" s="40" t="n">
        <x:v>1.62071177665307</x:v>
      </x:c>
      <x:c r="F233" s="40" t="n">
        <x:v>131.00724893946392</x:v>
      </x:c>
      <x:c r="G233" s="87" t="n">
        <x:v>0.8591408591408591</x:v>
      </x:c>
      <x:c r="H233" s="88" t="b">
        <x:v>1</x:v>
      </x:c>
      <x:c r="I233" s="87" t="n">
        <x:v>0.9177970623753756</x:v>
      </x:c>
      <x:c r="J233" s="17" t="b">
        <x:v>0</x:v>
      </x:c>
    </x:row>
    <x:row r="234">
      <x:c r="A234" t="str">
        <x:v>IAM</x:v>
      </x:c>
      <x:c r="B234" t="str">
        <x:v>Thalamus</x:v>
      </x:c>
      <x:c r="C234" t="n">
        <x:v>1</x:v>
      </x:c>
      <x:c r="D234" t="n">
        <x:v>7</x:v>
      </x:c>
      <x:c r="E234" s="40" t="n">
        <x:v>2.5557572242516757</x:v>
      </x:c>
      <x:c r="F234" s="40" t="n">
        <x:v>137.0321858000052</x:v>
      </x:c>
      <x:c r="G234" s="87" t="n">
        <x:v>0.6653346653346653</x:v>
      </x:c>
      <x:c r="H234" s="88" t="b">
        <x:v>0</x:v>
      </x:c>
      <x:c r="I234" s="87" t="n">
        <x:v>0.7661429479611298</x:v>
      </x:c>
      <x:c r="J234" s="17" t="b">
        <x:v>0</x:v>
      </x:c>
    </x:row>
    <x:row r="235">
      <x:c r="A235" t="str">
        <x:v>IGL</x:v>
      </x:c>
      <x:c r="B235" t="str">
        <x:v>Thalamus</x:v>
      </x:c>
      <x:c r="C235" t="n">
        <x:v>3</x:v>
      </x:c>
      <x:c r="D235" t="n">
        <x:v>16</x:v>
      </x:c>
      <x:c r="E235" s="40" t="n">
        <x:v>2.767346008954574</x:v>
      </x:c>
      <x:c r="F235" s="40" t="n">
        <x:v>61.10252112713837</x:v>
      </x:c>
      <x:c r="G235" s="87" t="n">
        <x:v>0.4825174825174825</x:v>
      </x:c>
      <x:c r="H235" s="88" t="b">
        <x:v>0</x:v>
      </x:c>
      <x:c r="I235" s="87" t="n">
        <x:v>0.6291649526943645</x:v>
      </x:c>
      <x:c r="J235" s="17" t="b">
        <x:v>0</x:v>
      </x:c>
    </x:row>
    <x:row r="236">
      <x:c r="A236" t="str">
        <x:v>IMD</x:v>
      </x:c>
      <x:c r="B236" t="str">
        <x:v>Thalamus</x:v>
      </x:c>
      <x:c r="C236" t="n">
        <x:v>1</x:v>
      </x:c>
      <x:c r="D236" t="n">
        <x:v>1</x:v>
      </x:c>
      <x:c r="E236" s="40" t="n">
        <x:v>3.016538546498423</x:v>
      </x:c>
      <x:c r="F236" s="40" t="n">
        <x:v>87.87155981821455</x:v>
      </x:c>
      <x:c r="G236" s="87" t="n">
        <x:v>0.6973026973026973</x:v>
      </x:c>
      <x:c r="H236" s="88" t="b">
        <x:v>0</x:v>
      </x:c>
      <x:c r="I236" s="87" t="n">
        <x:v>0.7859428706886334</x:v>
      </x:c>
      <x:c r="J236" s="17" t="b">
        <x:v>0</x:v>
      </x:c>
    </x:row>
    <x:row r="237">
      <x:c r="A237" t="str">
        <x:v>IntG</x:v>
      </x:c>
      <x:c r="B237" t="str">
        <x:v>Thalamus</x:v>
      </x:c>
      <x:c r="C237" t="n">
        <x:v>1</x:v>
      </x:c>
      <x:c r="D237" t="n">
        <x:v>6</x:v>
      </x:c>
      <x:c r="E237" s="40" t="n">
        <x:v>8.778789701786211</x:v>
      </x:c>
      <x:c r="F237" s="40" t="n">
        <x:v>54.29901417369663</x:v>
      </x:c>
      <x:c r="G237" s="87" t="n">
        <x:v>0.0319680319680319</x:v>
      </x:c>
      <x:c r="H237" s="88" t="b">
        <x:v>0</x:v>
      </x:c>
      <x:c r="I237" s="87" t="n">
        <x:v>0.085034965034965</x:v>
      </x:c>
      <x:c r="J237" s="17" t="b">
        <x:v>0</x:v>
      </x:c>
    </x:row>
    <x:row r="238">
      <x:c r="A238" t="str">
        <x:v>LD</x:v>
      </x:c>
      <x:c r="B238" t="str">
        <x:v>Thalamus</x:v>
      </x:c>
      <x:c r="C238" t="n">
        <x:v>22</x:v>
      </x:c>
      <x:c r="D238" t="n">
        <x:v>581</x:v>
      </x:c>
      <x:c r="E238" s="40" t="n">
        <x:v>1.3912262505219757</x:v>
      </x:c>
      <x:c r="F238" s="40" t="n">
        <x:v>53.03545342097449</x:v>
      </x:c>
      <x:c r="G238" s="87" t="n">
        <x:v>0.3916083916083916</x:v>
      </x:c>
      <x:c r="H238" s="88" t="b">
        <x:v>1</x:v>
      </x:c>
      <x:c r="I238" s="87" t="n">
        <x:v>0.538282230589923</x:v>
      </x:c>
      <x:c r="J238" s="17" t="b">
        <x:v>0</x:v>
      </x:c>
    </x:row>
    <x:row r="239">
      <x:c r="A239" t="str">
        <x:v>LGd</x:v>
      </x:c>
      <x:c r="B239" t="str">
        <x:v>Thalamus</x:v>
      </x:c>
      <x:c r="C239" t="n">
        <x:v>24</x:v>
      </x:c>
      <x:c r="D239" t="n">
        <x:v>557</x:v>
      </x:c>
      <x:c r="E239" s="40" t="n">
        <x:v>3.361013812053266</x:v>
      </x:c>
      <x:c r="F239" s="40" t="n">
        <x:v>35.89242008520696</x:v>
      </x:c>
      <x:c r="G239" s="87" t="n">
        <x:v>0.0009990009990009</x:v>
      </x:c>
      <x:c r="H239" s="88" t="b">
        <x:v>1</x:v>
      </x:c>
      <x:c r="I239" s="87" t="n">
        <x:v>0.0066433566433566</x:v>
      </x:c>
      <x:c r="J239" s="17" t="b">
        <x:v>1</x:v>
      </x:c>
    </x:row>
    <x:row r="240">
      <x:c r="A240" t="str">
        <x:v>LGv</x:v>
      </x:c>
      <x:c r="B240" t="str">
        <x:v>Thalamus</x:v>
      </x:c>
      <x:c r="C240" t="n">
        <x:v>8</x:v>
      </x:c>
      <x:c r="D240" t="n">
        <x:v>143</x:v>
      </x:c>
      <x:c r="E240" s="40" t="n">
        <x:v>1.6282858544637402</x:v>
      </x:c>
      <x:c r="F240" s="40" t="n">
        <x:v>54.83723004613413</x:v>
      </x:c>
      <x:c r="G240" s="87" t="n">
        <x:v>0.0209790209790209</x:v>
      </x:c>
      <x:c r="H240" s="88" t="b">
        <x:v>1</x:v>
      </x:c>
      <x:c r="I240" s="87" t="n">
        <x:v>0.06270134360022</x:v>
      </x:c>
      <x:c r="J240" s="17" t="b">
        <x:v>0</x:v>
      </x:c>
    </x:row>
    <x:row r="241">
      <x:c r="A241" t="str">
        <x:v>LH</x:v>
      </x:c>
      <x:c r="B241" t="str">
        <x:v>Thalamus</x:v>
      </x:c>
      <x:c r="C241" t="n">
        <x:v>13</x:v>
      </x:c>
      <x:c r="D241" t="n">
        <x:v>76</x:v>
      </x:c>
      <x:c r="E241" s="40" t="n">
        <x:v>1.6464031091111684</x:v>
      </x:c>
      <x:c r="F241" s="40" t="n">
        <x:v>112.80916253879988</x:v>
      </x:c>
      <x:c r="G241" s="87" t="n">
        <x:v>0.2627372627372627</x:v>
      </x:c>
      <x:c r="H241" s="88" t="b">
        <x:v>1</x:v>
      </x:c>
      <x:c r="I241" s="87" t="n">
        <x:v>0.4160006660006659</x:v>
      </x:c>
      <x:c r="J241" s="17" t="b">
        <x:v>0</x:v>
      </x:c>
    </x:row>
    <x:row r="242">
      <x:c r="A242" t="str">
        <x:v>LP</x:v>
      </x:c>
      <x:c r="B242" t="str">
        <x:v>Thalamus</x:v>
      </x:c>
      <x:c r="C242" t="n">
        <x:v>78</x:v>
      </x:c>
      <x:c r="D242" t="n">
        <x:v>1812</x:v>
      </x:c>
      <x:c r="E242" s="40" t="n">
        <x:v>1.5364454233722076</x:v>
      </x:c>
      <x:c r="F242" s="40" t="n">
        <x:v>52.279056249266745</x:v>
      </x:c>
      <x:c r="G242" s="87" t="n">
        <x:v>0.0009990009990009</x:v>
      </x:c>
      <x:c r="H242" s="88" t="b">
        <x:v>1</x:v>
      </x:c>
      <x:c r="I242" s="87" t="n">
        <x:v>0.0066433566433566</x:v>
      </x:c>
      <x:c r="J242" s="17" t="b">
        <x:v>1</x:v>
      </x:c>
    </x:row>
    <x:row r="243">
      <x:c r="A243" t="str">
        <x:v>MD</x:v>
      </x:c>
      <x:c r="B243" t="str">
        <x:v>Thalamus</x:v>
      </x:c>
      <x:c r="C243" t="n">
        <x:v>21</x:v>
      </x:c>
      <x:c r="D243" t="n">
        <x:v>604</x:v>
      </x:c>
      <x:c r="E243" s="40" t="n">
        <x:v>2.788743261338539</x:v>
      </x:c>
      <x:c r="F243" s="40" t="n">
        <x:v>130.54499599439507</x:v>
      </x:c>
      <x:c r="G243" s="87" t="n">
        <x:v>0.0009990009990009</x:v>
      </x:c>
      <x:c r="H243" s="88" t="b">
        <x:v>1</x:v>
      </x:c>
      <x:c r="I243" s="87" t="n">
        <x:v>0.0066433566433566</x:v>
      </x:c>
      <x:c r="J243" s="17" t="b">
        <x:v>1</x:v>
      </x:c>
    </x:row>
    <x:row r="244">
      <x:c r="A244" t="str">
        <x:v>MG</x:v>
      </x:c>
      <x:c r="B244" t="str">
        <x:v>Thalamus</x:v>
      </x:c>
      <x:c r="C244" t="n">
        <x:v>16</x:v>
      </x:c>
      <x:c r="D244" t="n">
        <x:v>332</x:v>
      </x:c>
      <x:c r="E244" s="40" t="n">
        <x:v>1.566914417614063</x:v>
      </x:c>
      <x:c r="F244" s="40" t="n">
        <x:v>131.82894803616358</x:v>
      </x:c>
      <x:c r="G244" s="87" t="n">
        <x:v>0.2797202797202797</x:v>
      </x:c>
      <x:c r="H244" s="88" t="b">
        <x:v>1</x:v>
      </x:c>
      <x:c r="I244" s="87" t="n">
        <x:v>0.4325906651488047</x:v>
      </x:c>
      <x:c r="J244" s="17" t="b">
        <x:v>0</x:v>
      </x:c>
    </x:row>
    <x:row r="245">
      <x:c r="A245" t="str">
        <x:v>MH</x:v>
      </x:c>
      <x:c r="B245" t="str">
        <x:v>Thalamus</x:v>
      </x:c>
      <x:c r="C245" t="n">
        <x:v>8</x:v>
      </x:c>
      <x:c r="D245" t="n">
        <x:v>38</x:v>
      </x:c>
      <x:c r="E245" s="40" t="n">
        <x:v>2.9304646309560685</x:v>
      </x:c>
      <x:c r="F245" s="40" t="n">
        <x:v>114.6978979890847</x:v>
      </x:c>
      <x:c r="G245" s="87" t="n">
        <x:v>0.2037962037962038</x:v>
      </x:c>
      <x:c r="H245" s="88" t="b">
        <x:v>1</x:v>
      </x:c>
      <x:c r="I245" s="87" t="n">
        <x:v>0.3452852879604472</x:v>
      </x:c>
      <x:c r="J245" s="17" t="b">
        <x:v>0</x:v>
      </x:c>
    </x:row>
    <x:row r="246">
      <x:c r="A246" t="str">
        <x:v>PCN</x:v>
      </x:c>
      <x:c r="B246" t="str">
        <x:v>Thalamus</x:v>
      </x:c>
      <x:c r="C246" t="n">
        <x:v>10</x:v>
      </x:c>
      <x:c r="D246" t="n">
        <x:v>84</x:v>
      </x:c>
      <x:c r="E246" s="40" t="n">
        <x:v>1.1876795772178372</x:v>
      </x:c>
      <x:c r="F246" s="40" t="n">
        <x:v>73.28302717626863</x:v>
      </x:c>
      <x:c r="G246" s="87" t="n">
        <x:v>0.3756243756243756</x:v>
      </x:c>
      <x:c r="H246" s="88" t="b">
        <x:v>1</x:v>
      </x:c>
      <x:c r="I246" s="87" t="n">
        <x:v>0.5258741258741259</x:v>
      </x:c>
      <x:c r="J246" s="17" t="b">
        <x:v>0</x:v>
      </x:c>
    </x:row>
    <x:row r="247">
      <x:c r="A247" t="str">
        <x:v>PF</x:v>
      </x:c>
      <x:c r="B247" t="str">
        <x:v>Thalamus</x:v>
      </x:c>
      <x:c r="C247" t="n">
        <x:v>8</x:v>
      </x:c>
      <x:c r="D247" t="n">
        <x:v>150</x:v>
      </x:c>
      <x:c r="E247" s="40" t="n">
        <x:v>8.272957347400006</x:v>
      </x:c>
      <x:c r="F247" s="40" t="n">
        <x:v>52.20673454658086</x:v>
      </x:c>
      <x:c r="G247" s="87" t="n">
        <x:v>0.0009990009990009</x:v>
      </x:c>
      <x:c r="H247" s="88" t="b">
        <x:v>1</x:v>
      </x:c>
      <x:c r="I247" s="87" t="n">
        <x:v>0.0066433566433566</x:v>
      </x:c>
      <x:c r="J247" s="17" t="b">
        <x:v>1</x:v>
      </x:c>
    </x:row>
    <x:row r="248">
      <x:c r="A248" t="str">
        <x:v>PIL</x:v>
      </x:c>
      <x:c r="B248" t="str">
        <x:v>Thalamus</x:v>
      </x:c>
      <x:c r="C248" t="n">
        <x:v>6</x:v>
      </x:c>
      <x:c r="D248" t="n">
        <x:v>11</x:v>
      </x:c>
      <x:c r="E248" s="40" t="n">
        <x:v>8.92918999455197</x:v>
      </x:c>
      <x:c r="F248" s="40" t="n">
        <x:v>137.55126918657467</x:v>
      </x:c>
      <x:c r="G248" s="87" t="n">
        <x:v>0.1018981018981019</x:v>
      </x:c>
      <x:c r="H248" s="88" t="b">
        <x:v>0</x:v>
      </x:c>
      <x:c r="I248" s="87" t="n">
        <x:v>0.2069075962205733</x:v>
      </x:c>
      <x:c r="J248" s="17" t="b">
        <x:v>0</x:v>
      </x:c>
    </x:row>
    <x:row r="249">
      <x:c r="A249" t="str">
        <x:v>PO</x:v>
      </x:c>
      <x:c r="B249" t="str">
        <x:v>Thalamus</x:v>
      </x:c>
      <x:c r="C249" t="n">
        <x:v>52</x:v>
      </x:c>
      <x:c r="D249" t="n">
        <x:v>2329</x:v>
      </x:c>
      <x:c r="E249" s="40" t="n">
        <x:v>0.9563380881281152</x:v>
      </x:c>
      <x:c r="F249" s="40" t="n">
        <x:v>136.28942194681795</x:v>
      </x:c>
      <x:c r="G249" s="87" t="n">
        <x:v>0.3006993006993007</x:v>
      </x:c>
      <x:c r="H249" s="88" t="b">
        <x:v>1</x:v>
      </x:c>
      <x:c r="I249" s="87" t="n">
        <x:v>0.457062937062937</x:v>
      </x:c>
      <x:c r="J249" s="17" t="b">
        <x:v>0</x:v>
      </x:c>
    </x:row>
    <x:row r="250">
      <x:c r="A250" t="str">
        <x:v>POL</x:v>
      </x:c>
      <x:c r="B250" t="str">
        <x:v>Thalamus</x:v>
      </x:c>
      <x:c r="C250" t="n">
        <x:v>18</x:v>
      </x:c>
      <x:c r="D250" t="n">
        <x:v>166</x:v>
      </x:c>
      <x:c r="E250" s="40" t="n">
        <x:v>1.7615968779544486</x:v>
      </x:c>
      <x:c r="F250" s="40" t="n">
        <x:v>24.176271593356475</x:v>
      </x:c>
      <x:c r="G250" s="87" t="n">
        <x:v>0.1788211788211788</x:v>
      </x:c>
      <x:c r="H250" s="88" t="b">
        <x:v>1</x:v>
      </x:c>
      <x:c r="I250" s="87" t="n">
        <x:v>0.3146853146853146</x:v>
      </x:c>
      <x:c r="J250" s="17" t="b">
        <x:v>0</x:v>
      </x:c>
    </x:row>
    <x:row r="251">
      <x:c r="A251" t="str">
        <x:v>PP</x:v>
      </x:c>
      <x:c r="B251" t="str">
        <x:v>Thalamus</x:v>
      </x:c>
      <x:c r="C251" t="n">
        <x:v>4</x:v>
      </x:c>
      <x:c r="D251" t="n">
        <x:v>13</x:v>
      </x:c>
      <x:c r="E251" s="40" t="n">
        <x:v>8.564579872067336</x:v>
      </x:c>
      <x:c r="F251" s="40" t="n">
        <x:v>101.76392230701548</x:v>
      </x:c>
      <x:c r="G251" s="87" t="n">
        <x:v>0.2297702297702297</x:v>
      </x:c>
      <x:c r="H251" s="88" t="b">
        <x:v>0</x:v>
      </x:c>
      <x:c r="I251" s="87" t="n">
        <x:v>0.381993006993007</x:v>
      </x:c>
      <x:c r="J251" s="17" t="b">
        <x:v>0</x:v>
      </x:c>
    </x:row>
    <x:row r="252">
      <x:c r="A252" t="str">
        <x:v>PR</x:v>
      </x:c>
      <x:c r="B252" t="str">
        <x:v>Thalamus</x:v>
      </x:c>
      <x:c r="C252" t="n">
        <x:v>5</x:v>
      </x:c>
      <x:c r="D252" t="n">
        <x:v>28</x:v>
      </x:c>
      <x:c r="E252" s="40" t="n">
        <x:v>1.2227358106445336</x:v>
      </x:c>
      <x:c r="F252" s="40" t="n">
        <x:v>5</x:v>
      </x:c>
      <x:c r="G252" s="87" t="n">
        <x:v>0.9010989010989012</x:v>
      </x:c>
      <x:c r="H252" s="88" t="b">
        <x:v>1</x:v>
      </x:c>
      <x:c r="I252" s="87" t="n">
        <x:v>0.9399698340874812</x:v>
      </x:c>
      <x:c r="J252" s="17" t="b">
        <x:v>0</x:v>
      </x:c>
    </x:row>
    <x:row r="253">
      <x:c r="A253" t="str">
        <x:v>PT</x:v>
      </x:c>
      <x:c r="B253" t="str">
        <x:v>Thalamus</x:v>
      </x:c>
      <x:c r="C253" t="n">
        <x:v>1</x:v>
      </x:c>
      <x:c r="D253" t="n">
        <x:v>4</x:v>
      </x:c>
      <x:c r="E253" s="40" t="n">
        <x:v>1.2344131248019354</x:v>
      </x:c>
      <x:c r="F253" s="40" t="n">
        <x:v>7.808626221107981</x:v>
      </x:c>
      <x:c r="G253" s="87" t="n">
        <x:v>0.7082917082917083</x:v>
      </x:c>
      <x:c r="H253" s="88" t="b">
        <x:v>0</x:v>
      </x:c>
      <x:c r="I253" s="87" t="n">
        <x:v>0.7916435029405741</x:v>
      </x:c>
      <x:c r="J253" s="17" t="b">
        <x:v>0</x:v>
      </x:c>
    </x:row>
    <x:row r="254">
      <x:c r="A254" t="str">
        <x:v>PVT</x:v>
      </x:c>
      <x:c r="B254" t="str">
        <x:v>Thalamus</x:v>
      </x:c>
      <x:c r="C254" t="n">
        <x:v>8</x:v>
      </x:c>
      <x:c r="D254" t="n">
        <x:v>84</x:v>
      </x:c>
      <x:c r="E254" s="40" t="n">
        <x:v>0.7616892994795852</x:v>
      </x:c>
      <x:c r="F254" s="40" t="n">
        <x:v>59.03680029011734</x:v>
      </x:c>
      <x:c r="G254" s="87" t="n">
        <x:v>0.3936063936063936</x:v>
      </x:c>
      <x:c r="H254" s="88" t="b">
        <x:v>1</x:v>
      </x:c>
      <x:c r="I254" s="87" t="n">
        <x:v>0.538282230589923</x:v>
      </x:c>
      <x:c r="J254" s="17" t="b">
        <x:v>0</x:v>
      </x:c>
    </x:row>
    <x:row r="255">
      <x:c r="A255" t="str">
        <x:v>PoT</x:v>
      </x:c>
      <x:c r="B255" t="str">
        <x:v>Thalamus</x:v>
      </x:c>
      <x:c r="C255" t="n">
        <x:v>19</x:v>
      </x:c>
      <x:c r="D255" t="n">
        <x:v>228</x:v>
      </x:c>
      <x:c r="E255" s="40" t="n">
        <x:v>2.4214014305251466</x:v>
      </x:c>
      <x:c r="F255" s="40" t="n">
        <x:v>136.18483619597444</x:v>
      </x:c>
      <x:c r="G255" s="87" t="n">
        <x:v>0.0409590409590409</x:v>
      </x:c>
      <x:c r="H255" s="88" t="b">
        <x:v>1</x:v>
      </x:c>
      <x:c r="I255" s="87" t="n">
        <x:v>0.0999550907807788</x:v>
      </x:c>
      <x:c r="J255" s="17" t="b">
        <x:v>0</x:v>
      </x:c>
    </x:row>
    <x:row r="256">
      <x:c r="A256" t="str">
        <x:v>RE</x:v>
      </x:c>
      <x:c r="B256" t="str">
        <x:v>Thalamus</x:v>
      </x:c>
      <x:c r="C256" t="n">
        <x:v>3</x:v>
      </x:c>
      <x:c r="D256" t="n">
        <x:v>8</x:v>
      </x:c>
      <x:c r="E256" s="40" t="n">
        <x:v>3.8396081882636497</x:v>
      </x:c>
      <x:c r="F256" s="40" t="n">
        <x:v>12.87332378202357</x:v>
      </x:c>
      <x:c r="G256" s="87" t="n">
        <x:v>0.5334665334665335</x:v>
      </x:c>
      <x:c r="H256" s="88" t="b">
        <x:v>0</x:v>
      </x:c>
      <x:c r="I256" s="87" t="n">
        <x:v>0.6725217910052034</x:v>
      </x:c>
      <x:c r="J256" s="17" t="b">
        <x:v>0</x:v>
      </x:c>
    </x:row>
    <x:row r="257">
      <x:c r="A257" t="str">
        <x:v>RH</x:v>
      </x:c>
      <x:c r="B257" t="str">
        <x:v>Thalamus</x:v>
      </x:c>
      <x:c r="C257" t="n">
        <x:v>2</x:v>
      </x:c>
      <x:c r="D257" t="n">
        <x:v>6</x:v>
      </x:c>
      <x:c r="E257" s="40" t="n">
        <x:v>3.164599540125357</x:v>
      </x:c>
      <x:c r="F257" s="40" t="n">
        <x:v>22.920999333286296</x:v>
      </x:c>
      <x:c r="G257" s="87" t="n">
        <x:v>0.8841158841158842</x:v>
      </x:c>
      <x:c r="H257" s="88" t="b">
        <x:v>0</x:v>
      </x:c>
      <x:c r="I257" s="87" t="n">
        <x:v>0.9305950966030018</x:v>
      </x:c>
      <x:c r="J257" s="17" t="b">
        <x:v>0</x:v>
      </x:c>
    </x:row>
    <x:row r="258">
      <x:c r="A258" t="str">
        <x:v>RT</x:v>
      </x:c>
      <x:c r="B258" t="str">
        <x:v>Thalamus</x:v>
      </x:c>
      <x:c r="C258" t="n">
        <x:v>25</x:v>
      </x:c>
      <x:c r="D258" t="n">
        <x:v>421</x:v>
      </x:c>
      <x:c r="E258" s="40" t="n">
        <x:v>5.40445221221005</x:v>
      </x:c>
      <x:c r="F258" s="40" t="n">
        <x:v>128.90581058121242</x:v>
      </x:c>
      <x:c r="G258" s="87" t="n">
        <x:v>0.0129870129870129</x:v>
      </x:c>
      <x:c r="H258" s="88" t="b">
        <x:v>1</x:v>
      </x:c>
      <x:c r="I258" s="87" t="n">
        <x:v>0.046060606060606</x:v>
      </x:c>
      <x:c r="J258" s="17" t="b">
        <x:v>0</x:v>
      </x:c>
    </x:row>
    <x:row r="259">
      <x:c r="A259" t="str">
        <x:v>SGN</x:v>
      </x:c>
      <x:c r="B259" t="str">
        <x:v>Thalamus</x:v>
      </x:c>
      <x:c r="C259" t="n">
        <x:v>10</x:v>
      </x:c>
      <x:c r="D259" t="n">
        <x:v>131</x:v>
      </x:c>
      <x:c r="E259" s="40" t="n">
        <x:v>1.569541978907326</x:v>
      </x:c>
      <x:c r="F259" s="40" t="n">
        <x:v>50.674264204863015</x:v>
      </x:c>
      <x:c r="G259" s="87" t="n">
        <x:v>0.1048951048951049</x:v>
      </x:c>
      <x:c r="H259" s="88" t="b">
        <x:v>1</x:v>
      </x:c>
      <x:c r="I259" s="87" t="n">
        <x:v>0.2071164129987659</x:v>
      </x:c>
      <x:c r="J259" s="17" t="b">
        <x:v>0</x:v>
      </x:c>
    </x:row>
    <x:row r="260">
      <x:c r="A260" t="str">
        <x:v>SMT</x:v>
      </x:c>
      <x:c r="B260" t="str">
        <x:v>Thalamus</x:v>
      </x:c>
      <x:c r="C260" t="n">
        <x:v>6</x:v>
      </x:c>
      <x:c r="D260" t="n">
        <x:v>140</x:v>
      </x:c>
      <x:c r="E260" s="40" t="n">
        <x:v>7.150471164932259</x:v>
      </x:c>
      <x:c r="F260" s="40" t="n">
        <x:v>124.73994594414184</x:v>
      </x:c>
      <x:c r="G260" s="87" t="n">
        <x:v>0.0439560439560439</x:v>
      </x:c>
      <x:c r="H260" s="88" t="b">
        <x:v>1</x:v>
      </x:c>
      <x:c r="I260" s="87" t="n">
        <x:v>0.1053361053361053</x:v>
      </x:c>
      <x:c r="J260" s="17" t="b">
        <x:v>0</x:v>
      </x:c>
    </x:row>
    <x:row r="261">
      <x:c r="A261" t="str">
        <x:v>SPA</x:v>
      </x:c>
      <x:c r="B261" t="str">
        <x:v>Thalamus</x:v>
      </x:c>
      <x:c r="C261" t="n">
        <x:v>4</x:v>
      </x:c>
      <x:c r="D261" t="n">
        <x:v>25</x:v>
      </x:c>
      <x:c r="E261" s="40" t="n">
        <x:v>1.4328573884614455</x:v>
      </x:c>
      <x:c r="F261" s="40" t="n">
        <x:v>5</x:v>
      </x:c>
      <x:c r="G261" s="87" t="n">
        <x:v>0.3746253746253746</x:v>
      </x:c>
      <x:c r="H261" s="88" t="b">
        <x:v>1</x:v>
      </x:c>
      <x:c r="I261" s="87" t="n">
        <x:v>0.5258741258741259</x:v>
      </x:c>
      <x:c r="J261" s="17" t="b">
        <x:v>0</x:v>
      </x:c>
    </x:row>
    <x:row r="262">
      <x:c r="A262" t="str">
        <x:v>SPF</x:v>
      </x:c>
      <x:c r="B262" t="str">
        <x:v>Thalamus</x:v>
      </x:c>
      <x:c r="C262" t="n">
        <x:v>18</x:v>
      </x:c>
      <x:c r="D262" t="n">
        <x:v>70</x:v>
      </x:c>
      <x:c r="E262" s="40" t="n">
        <x:v>3.353671355384659</x:v>
      </x:c>
      <x:c r="F262" s="40" t="n">
        <x:v>111.12739018500758</x:v>
      </x:c>
      <x:c r="G262" s="87" t="n">
        <x:v>0.0439560439560439</x:v>
      </x:c>
      <x:c r="H262" s="88" t="b">
        <x:v>1</x:v>
      </x:c>
      <x:c r="I262" s="87" t="n">
        <x:v>0.1053361053361053</x:v>
      </x:c>
      <x:c r="J262" s="17" t="b">
        <x:v>0</x:v>
      </x:c>
    </x:row>
    <x:row r="263">
      <x:c r="A263" t="str">
        <x:v>SubG</x:v>
      </x:c>
      <x:c r="B263" t="str">
        <x:v>Thalamus</x:v>
      </x:c>
      <x:c r="C263" t="n">
        <x:v>1</x:v>
      </x:c>
      <x:c r="D263" t="n">
        <x:v>7</x:v>
      </x:c>
      <x:c r="E263" s="40" t="n">
        <x:v>2.310198186593378</x:v>
      </x:c>
      <x:c r="F263" s="40" t="n">
        <x:v>22.45498954844326</x:v>
      </x:c>
      <x:c r="G263" s="87" t="n">
        <x:v>0.9690309690309692</x:v>
      </x:c>
      <x:c r="H263" s="88" t="b">
        <x:v>0</x:v>
      </x:c>
      <x:c r="I263" s="87" t="n">
        <x:v>0.9814049586776858</x:v>
      </x:c>
      <x:c r="J263" s="17" t="b">
        <x:v>0</x:v>
      </x:c>
    </x:row>
    <x:row r="264">
      <x:c r="A264" t="str">
        <x:v>VAL</x:v>
      </x:c>
      <x:c r="B264" t="str">
        <x:v>Thalamus</x:v>
      </x:c>
      <x:c r="C264" t="n">
        <x:v>10</x:v>
      </x:c>
      <x:c r="D264" t="n">
        <x:v>295</x:v>
      </x:c>
      <x:c r="E264" s="40" t="n">
        <x:v>4.073801118673771</x:v>
      </x:c>
      <x:c r="F264" s="40" t="n">
        <x:v>119.14798357405162</x:v>
      </x:c>
      <x:c r="G264" s="87" t="n">
        <x:v>0.2747252747252747</x:v>
      </x:c>
      <x:c r="H264" s="88" t="b">
        <x:v>1</x:v>
      </x:c>
      <x:c r="I264" s="87" t="n">
        <x:v>0.4289044289044288</x:v>
      </x:c>
      <x:c r="J264" s="17" t="b">
        <x:v>0</x:v>
      </x:c>
    </x:row>
    <x:row r="265">
      <x:c r="A265" t="str">
        <x:v>VM</x:v>
      </x:c>
      <x:c r="B265" t="str">
        <x:v>Thalamus</x:v>
      </x:c>
      <x:c r="C265" t="n">
        <x:v>15</x:v>
      </x:c>
      <x:c r="D265" t="n">
        <x:v>118</x:v>
      </x:c>
      <x:c r="E265" s="40" t="n">
        <x:v>4.634389054073221</x:v>
      </x:c>
      <x:c r="F265" s="40" t="n">
        <x:v>97.97267591641616</x:v>
      </x:c>
      <x:c r="G265" s="87" t="n">
        <x:v>0.0009990009990009</x:v>
      </x:c>
      <x:c r="H265" s="88" t="b">
        <x:v>1</x:v>
      </x:c>
      <x:c r="I265" s="87" t="n">
        <x:v>0.0066433566433566</x:v>
      </x:c>
      <x:c r="J265" s="17" t="b">
        <x:v>1</x:v>
      </x:c>
    </x:row>
    <x:row r="266">
      <x:c r="A266" t="str">
        <x:v>VPL</x:v>
      </x:c>
      <x:c r="B266" t="str">
        <x:v>Thalamus</x:v>
      </x:c>
      <x:c r="C266" t="n">
        <x:v>24</x:v>
      </x:c>
      <x:c r="D266" t="n">
        <x:v>436</x:v>
      </x:c>
      <x:c r="E266" s="40" t="n">
        <x:v>3.9819365247248633</x:v>
      </x:c>
      <x:c r="F266" s="40" t="n">
        <x:v>122.4418097234815</x:v>
      </x:c>
      <x:c r="G266" s="87" t="n">
        <x:v>0.0029970029970029</x:v>
      </x:c>
      <x:c r="H266" s="88" t="b">
        <x:v>1</x:v>
      </x:c>
      <x:c r="I266" s="87" t="n">
        <x:v>0.0150415622113735</x:v>
      </x:c>
      <x:c r="J266" s="17" t="b">
        <x:v>0</x:v>
      </x:c>
    </x:row>
    <x:row r="267">
      <x:c r="A267" t="str">
        <x:v>VPLpc</x:v>
      </x:c>
      <x:c r="B267" t="str">
        <x:v>Thalamus</x:v>
      </x:c>
      <x:c r="C267" t="n">
        <x:v>11</x:v>
      </x:c>
      <x:c r="D267" t="n">
        <x:v>80</x:v>
      </x:c>
      <x:c r="E267" s="40" t="n">
        <x:v>1.1744353695155123</x:v>
      </x:c>
      <x:c r="F267" s="40" t="n">
        <x:v>64.97172171614234</x:v>
      </x:c>
      <x:c r="G267" s="87" t="n">
        <x:v>0.6493506493506493</x:v>
      </x:c>
      <x:c r="H267" s="88" t="b">
        <x:v>1</x:v>
      </x:c>
      <x:c r="I267" s="87" t="n">
        <x:v>0.7609130957148578</x:v>
      </x:c>
      <x:c r="J267" s="17" t="b">
        <x:v>0</x:v>
      </x:c>
    </x:row>
    <x:row r="268">
      <x:c r="A268" t="str">
        <x:v>VPM</x:v>
      </x:c>
      <x:c r="B268" t="str">
        <x:v>Thalamus</x:v>
      </x:c>
      <x:c r="C268" t="n">
        <x:v>39</x:v>
      </x:c>
      <x:c r="D268" t="n">
        <x:v>1310</x:v>
      </x:c>
      <x:c r="E268" s="40" t="n">
        <x:v>2.0198416025633295</x:v>
      </x:c>
      <x:c r="F268" s="40" t="n">
        <x:v>127.18991443932876</x:v>
      </x:c>
      <x:c r="G268" s="87" t="n">
        <x:v>0.0029970029970029</x:v>
      </x:c>
      <x:c r="H268" s="88" t="b">
        <x:v>1</x:v>
      </x:c>
      <x:c r="I268" s="87" t="n">
        <x:v>0.0150415622113735</x:v>
      </x:c>
      <x:c r="J268" s="17" t="b">
        <x:v>0</x:v>
      </x:c>
    </x:row>
    <x:row r="269">
      <x:c r="A269" t="str">
        <x:v>VPMpc</x:v>
      </x:c>
      <x:c r="B269" t="str">
        <x:v>Thalamus</x:v>
      </x:c>
      <x:c r="C269" t="n">
        <x:v>10</x:v>
      </x:c>
      <x:c r="D269" t="n">
        <x:v>67</x:v>
      </x:c>
      <x:c r="E269" s="40" t="n">
        <x:v>2.7399622927683147</x:v>
      </x:c>
      <x:c r="F269" s="40" t="n">
        <x:v>124.43650055266514</x:v>
      </x:c>
      <x:c r="G269" s="87" t="n">
        <x:v>0.0029970029970029</x:v>
      </x:c>
      <x:c r="H269" s="88" t="b">
        <x:v>1</x:v>
      </x:c>
      <x:c r="I269" s="87" t="n">
        <x:v>0.0150415622113735</x:v>
      </x:c>
      <x:c r="J269" s="17" t="b">
        <x:v>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b0baf9f1a9547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7.670000076293945" hidden="0" customWidth="1"/>
    <x:col min="4" max="4" width="15.5600004196167" hidden="0" customWidth="1"/>
    <x:col min="5" max="5" width="20.110000610351562" hidden="0" customWidth="1"/>
    <x:col min="6" max="6" width="16.110000610351562" hidden="0" customWidth="1"/>
    <x:col min="7" max="7" width="23.219999313354492" hidden="0" customWidth="1"/>
    <x:col min="8" max="8" width="21.559999465942383" hidden="0" customWidth="1"/>
    <x:col min="9" max="9" width="22.559999465942383" hidden="0" customWidth="1"/>
    <x:col min="10" max="10" width="14.890000343322754" hidden="0" customWidth="1"/>
  </x:cols>
  <x:sheetData>
    <x:row r="1" ht="30" customHeight="1">
      <x:c r="A1" s="3" t="str">
        <x:v>Official IBL paper/release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4" customHeight="1">
      <x:c r="A3" s="14" t="str">
        <x:v>acronym</x:v>
      </x:c>
      <x:c r="B3" s="15" t="str">
        <x:v>full_name</x:v>
      </x:c>
      <x:c r="C3" s="15" t="str">
        <x:v>anatomical_group</x:v>
      </x:c>
      <x:c r="D3" s="15" t="str">
        <x:v>paper_canonical</x:v>
      </x:c>
      <x:c r="E3" s="15" t="str">
        <x:v>paper_effect_log10_hz</x:v>
      </x:c>
      <x:c r="F3" s="15" t="str">
        <x:v>paper_significant</x:v>
      </x:c>
      <x:c r="G3" s="15" t="str">
        <x:v>paper_release_latency_ms</x:v>
      </x:c>
      <x:c r="H3" s="15" t="str">
        <x:v>paper_release_effect_hz</x:v>
      </x:c>
      <x:c r="I3" s="15" t="str">
        <x:v>paper_release_significant</x:v>
      </x:c>
      <x:c r="J3" s="16" t="str">
        <x:v>paper_analyzed</x:v>
      </x:c>
    </x:row>
    <x:row r="4">
      <x:c r="A4" t="str">
        <x:v>ANcr1</x:v>
      </x:c>
      <x:c r="B4" t="str">
        <x:v>Crus 1</x:v>
      </x:c>
      <x:c r="C4" t="str">
        <x:v>Cerebellum</x:v>
      </x:c>
      <x:c r="D4" s="17" t="b">
        <x:v>1</x:v>
      </x:c>
      <x:c r="E4" s="40" t="n">
        <x:v>-0.32</x:v>
      </x:c>
      <x:c r="F4" s="40" t="n">
        <x:v>1</x:v>
      </x:c>
      <x:c r="G4" s="40" t="n">
        <x:v>95.7446808510638</x:v>
      </x:c>
      <x:c r="H4" s="40" t="n">
        <x:v>0.3522433567367487</x:v>
      </x:c>
      <x:c r="I4" t="n">
        <x:v>1</x:v>
      </x:c>
      <x:c r="J4" s="17" t="b">
        <x:v>1</x:v>
      </x:c>
    </x:row>
    <x:row r="5">
      <x:c r="A5" t="str">
        <x:v>ANcr2</x:v>
      </x:c>
      <x:c r="B5" t="str">
        <x:v>Crus 2</x:v>
      </x:c>
      <x:c r="C5" t="str">
        <x:v>Cerebellum</x:v>
      </x:c>
      <x:c r="D5" s="17" t="b">
        <x:v>1</x:v>
      </x:c>
      <x:c r="E5" s="40" t="n">
        <x:v>-0.71</x:v>
      </x:c>
      <x:c r="F5" s="40" t="n">
        <x:v>1</x:v>
      </x:c>
      <x:c r="G5" s="40" t="n">
        <x:v>34.0425531914893</x:v>
      </x:c>
      <x:c r="H5" s="40" t="n">
        <x:v>0.1917511073539747</x:v>
      </x:c>
      <x:c r="I5" t="n">
        <x:v>0</x:v>
      </x:c>
      <x:c r="J5" s="17" t="b">
        <x:v>1</x:v>
      </x:c>
    </x:row>
    <x:row r="6">
      <x:c r="A6" t="str">
        <x:v>CENT2</x:v>
      </x:c>
      <x:c r="B6" t="str">
        <x:v>Lobule II</x:v>
      </x:c>
      <x:c r="C6" t="str">
        <x:v>Cerebellum</x:v>
      </x:c>
      <x:c r="D6" s="17" t="b">
        <x:v>1</x:v>
      </x:c>
      <x:c r="E6" s="40" t="n">
        <x:v>-0.95</x:v>
      </x:c>
      <x:c r="F6" s="40" t="n">
        <x:v>0</x:v>
      </x:c>
      <x:c r="G6" s="40"/>
      <x:c r="H6" s="40" t="n">
        <x:v>0.1508905686416847</x:v>
      </x:c>
      <x:c r="I6" t="n">
        <x:v>1</x:v>
      </x:c>
      <x:c r="J6" s="17" t="b">
        <x:v>1</x:v>
      </x:c>
    </x:row>
    <x:row r="7">
      <x:c r="A7" t="str">
        <x:v>CENT3</x:v>
      </x:c>
      <x:c r="B7" t="str">
        <x:v>Lobule III</x:v>
      </x:c>
      <x:c r="C7" t="str">
        <x:v>Cerebellum</x:v>
      </x:c>
      <x:c r="D7" s="17" t="b">
        <x:v>1</x:v>
      </x:c>
      <x:c r="E7" s="40" t="n">
        <x:v>-0.59</x:v>
      </x:c>
      <x:c r="F7" s="40" t="n">
        <x:v>1</x:v>
      </x:c>
      <x:c r="G7" s="40" t="n">
        <x:v>91.4893617021276</x:v>
      </x:c>
      <x:c r="H7" s="40" t="n">
        <x:v>0.3556137259171004</x:v>
      </x:c>
      <x:c r="I7" t="n">
        <x:v>1</x:v>
      </x:c>
      <x:c r="J7" s="17" t="b">
        <x:v>1</x:v>
      </x:c>
    </x:row>
    <x:row r="8">
      <x:c r="A8" t="str">
        <x:v>COPY</x:v>
      </x:c>
      <x:c r="B8" t="str">
        <x:v>Copula pyramidis</x:v>
      </x:c>
      <x:c r="C8" t="str">
        <x:v>Cerebellum</x:v>
      </x:c>
      <x:c r="D8" s="17" t="b">
        <x:v>1</x:v>
      </x:c>
      <x:c r="E8" s="40" t="n">
        <x:v>-0.69</x:v>
      </x:c>
      <x:c r="F8" s="40" t="n">
        <x:v>0</x:v>
      </x:c>
      <x:c r="G8" s="40"/>
      <x:c r="H8" s="40" t="n">
        <x:v>0.1688943692951384</x:v>
      </x:c>
      <x:c r="I8" t="n">
        <x:v>1</x:v>
      </x:c>
      <x:c r="J8" s="17" t="b">
        <x:v>1</x:v>
      </x:c>
    </x:row>
    <x:row r="9">
      <x:c r="A9" t="str">
        <x:v>CUL4 5</x:v>
      </x:c>
      <x:c r="B9" t="str">
        <x:v>Lobules IV-V</x:v>
      </x:c>
      <x:c r="C9" t="str">
        <x:v>Cerebellum</x:v>
      </x:c>
      <x:c r="D9" s="17" t="b">
        <x:v>1</x:v>
      </x:c>
      <x:c r="E9" s="40" t="n">
        <x:v>-0.86</x:v>
      </x:c>
      <x:c r="F9" s="40" t="n">
        <x:v>1</x:v>
      </x:c>
      <x:c r="G9" s="40" t="n">
        <x:v>87.23404255319139</x:v>
      </x:c>
      <x:c r="H9" s="40" t="n">
        <x:v>0.1965540225042265</x:v>
      </x:c>
      <x:c r="I9" t="n">
        <x:v>1</x:v>
      </x:c>
      <x:c r="J9" s="17" t="b">
        <x:v>1</x:v>
      </x:c>
    </x:row>
    <x:row r="10">
      <x:c r="A10" t="str">
        <x:v>DEC</x:v>
      </x:c>
      <x:c r="B10" t="str">
        <x:v>Declive (VI)</x:v>
      </x:c>
      <x:c r="C10" t="str">
        <x:v>Cerebellum</x:v>
      </x:c>
      <x:c r="D10" s="17" t="b">
        <x:v>1</x:v>
      </x:c>
      <x:c r="E10" s="40" t="n">
        <x:v>-0.86</x:v>
      </x:c>
      <x:c r="F10" s="40" t="n">
        <x:v>0</x:v>
      </x:c>
      <x:c r="G10" s="40"/>
      <x:c r="H10" s="40"/>
      <x:c r="I10"/>
      <x:c r="J10" s="17" t="b">
        <x:v>1</x:v>
      </x:c>
    </x:row>
    <x:row r="11">
      <x:c r="A11" t="str">
        <x:v>DN</x:v>
      </x:c>
      <x:c r="B11" t="str">
        <x:v>Dentate nucleus</x:v>
      </x:c>
      <x:c r="C11" t="str">
        <x:v>Cerebellum</x:v>
      </x:c>
      <x:c r="D11" s="17" t="b">
        <x:v>1</x:v>
      </x:c>
      <x:c r="E11" s="40" t="n">
        <x:v>-0.22</x:v>
      </x:c>
      <x:c r="F11" s="40" t="n">
        <x:v>1</x:v>
      </x:c>
      <x:c r="G11" s="40" t="n">
        <x:v>93.6170212765957</x:v>
      </x:c>
      <x:c r="H11" s="40" t="n">
        <x:v>1.2060342477184562</x:v>
      </x:c>
      <x:c r="I11" t="n">
        <x:v>1</x:v>
      </x:c>
      <x:c r="J11" s="17" t="b">
        <x:v>1</x:v>
      </x:c>
    </x:row>
    <x:row r="12">
      <x:c r="A12" t="str">
        <x:v>FL</x:v>
      </x:c>
      <x:c r="B12" t="str">
        <x:v>Flocculus</x:v>
      </x:c>
      <x:c r="C12" t="str">
        <x:v>Cerebellum</x:v>
      </x:c>
      <x:c r="D12" s="17" t="b">
        <x:v>1</x:v>
      </x:c>
      <x:c r="E12" s="40" t="n">
        <x:v>-0.45</x:v>
      </x:c>
      <x:c r="F12" s="40" t="n">
        <x:v>0</x:v>
      </x:c>
      <x:c r="G12" s="40"/>
      <x:c r="H12" s="40"/>
      <x:c r="I12"/>
      <x:c r="J12" s="17" t="b">
        <x:v>1</x:v>
      </x:c>
    </x:row>
    <x:row r="13">
      <x:c r="A13" t="str">
        <x:v>FN</x:v>
      </x:c>
      <x:c r="B13" t="str">
        <x:v>Fastigial nucleus</x:v>
      </x:c>
      <x:c r="C13" t="str">
        <x:v>Cerebellum</x:v>
      </x:c>
      <x:c r="D13" s="17" t="b">
        <x:v>0</x:v>
      </x:c>
      <x:c r="E13" s="40"/>
      <x:c r="F13" s="40"/>
      <x:c r="G13" s="40"/>
      <x:c r="H13" s="40"/>
      <x:c r="I13"/>
      <x:c r="J13" s="17" t="b">
        <x:v>0</x:v>
      </x:c>
    </x:row>
    <x:row r="14">
      <x:c r="A14" t="str">
        <x:v>FOTU</x:v>
      </x:c>
      <x:c r="B14" t="str">
        <x:v>Folium-tuber vermis (VII)</x:v>
      </x:c>
      <x:c r="C14" t="str">
        <x:v>Cerebellum</x:v>
      </x:c>
      <x:c r="D14" s="17" t="b">
        <x:v>1</x:v>
      </x:c>
      <x:c r="E14" s="40" t="n">
        <x:v>-0.58</x:v>
      </x:c>
      <x:c r="F14" s="40" t="n">
        <x:v>0</x:v>
      </x:c>
      <x:c r="G14" s="40"/>
      <x:c r="H14" s="40"/>
      <x:c r="I14"/>
      <x:c r="J14" s="17" t="b">
        <x:v>1</x:v>
      </x:c>
    </x:row>
    <x:row r="15">
      <x:c r="A15" t="str">
        <x:v>IP</x:v>
      </x:c>
      <x:c r="B15" t="str">
        <x:v>Interposed nucleus</x:v>
      </x:c>
      <x:c r="C15" t="str">
        <x:v>Cerebellum</x:v>
      </x:c>
      <x:c r="D15" s="17" t="b">
        <x:v>1</x:v>
      </x:c>
      <x:c r="E15" s="40" t="n">
        <x:v>-0.32</x:v>
      </x:c>
      <x:c r="F15" s="40" t="n">
        <x:v>1</x:v>
      </x:c>
      <x:c r="G15" s="40" t="n">
        <x:v>89.3617021276595</x:v>
      </x:c>
      <x:c r="H15" s="40" t="n">
        <x:v>0.2465108992152115</x:v>
      </x:c>
      <x:c r="I15" t="n">
        <x:v>1</x:v>
      </x:c>
      <x:c r="J15" s="17" t="b">
        <x:v>1</x:v>
      </x:c>
    </x:row>
    <x:row r="16">
      <x:c r="A16" t="str">
        <x:v>LING</x:v>
      </x:c>
      <x:c r="B16" t="str">
        <x:v>Lingula (I)</x:v>
      </x:c>
      <x:c r="C16" t="str">
        <x:v>Cerebellum</x:v>
      </x:c>
      <x:c r="D16" s="17" t="b">
        <x:v>1</x:v>
      </x:c>
      <x:c r="E16" s="40" t="n">
        <x:v>-0.47</x:v>
      </x:c>
      <x:c r="F16" s="40" t="n">
        <x:v>0</x:v>
      </x:c>
      <x:c r="G16" s="40"/>
      <x:c r="H16" s="40"/>
      <x:c r="I16"/>
      <x:c r="J16" s="17" t="b">
        <x:v>1</x:v>
      </x:c>
    </x:row>
    <x:row r="17">
      <x:c r="A17" t="str">
        <x:v>NOD</x:v>
      </x:c>
      <x:c r="B17" t="str">
        <x:v>Nodulus (X)</x:v>
      </x:c>
      <x:c r="C17" t="str">
        <x:v>Cerebellum</x:v>
      </x:c>
      <x:c r="D17" s="17" t="b">
        <x:v>1</x:v>
      </x:c>
      <x:c r="E17" s="40" t="n">
        <x:v>-0.27</x:v>
      </x:c>
      <x:c r="F17" s="40" t="n">
        <x:v>1</x:v>
      </x:c>
      <x:c r="G17" s="40" t="n">
        <x:v>44.6808510638297</x:v>
      </x:c>
      <x:c r="H17" s="40" t="n">
        <x:v>0.1429991013098768</x:v>
      </x:c>
      <x:c r="I17" t="n">
        <x:v>1</x:v>
      </x:c>
      <x:c r="J17" s="17" t="b">
        <x:v>1</x:v>
      </x:c>
    </x:row>
    <x:row r="18">
      <x:c r="A18" t="str">
        <x:v>PFL</x:v>
      </x:c>
      <x:c r="B18" t="str">
        <x:v>Paraflocculus</x:v>
      </x:c>
      <x:c r="C18" t="str">
        <x:v>Cerebellum</x:v>
      </x:c>
      <x:c r="D18" s="17" t="b">
        <x:v>1</x:v>
      </x:c>
      <x:c r="E18" s="40" t="n">
        <x:v>-0.56</x:v>
      </x:c>
      <x:c r="F18" s="40" t="n">
        <x:v>0</x:v>
      </x:c>
      <x:c r="G18" s="40"/>
      <x:c r="H18" s="40"/>
      <x:c r="I18"/>
      <x:c r="J18" s="17" t="b">
        <x:v>1</x:v>
      </x:c>
    </x:row>
    <x:row r="19">
      <x:c r="A19" t="str">
        <x:v>PRM</x:v>
      </x:c>
      <x:c r="B19" t="str">
        <x:v>Paramedian lobule</x:v>
      </x:c>
      <x:c r="C19" t="str">
        <x:v>Cerebellum</x:v>
      </x:c>
      <x:c r="D19" s="17" t="b">
        <x:v>1</x:v>
      </x:c>
      <x:c r="E19" s="40" t="n">
        <x:v>-0.19</x:v>
      </x:c>
      <x:c r="F19" s="40" t="n">
        <x:v>1</x:v>
      </x:c>
      <x:c r="G19" s="40" t="n">
        <x:v>97.8723404255319</x:v>
      </x:c>
      <x:c r="H19" s="40" t="n">
        <x:v>0.2875800332531951</x:v>
      </x:c>
      <x:c r="I19" t="n">
        <x:v>1</x:v>
      </x:c>
      <x:c r="J19" s="17" t="b">
        <x:v>1</x:v>
      </x:c>
    </x:row>
    <x:row r="20">
      <x:c r="A20" t="str">
        <x:v>PYR</x:v>
      </x:c>
      <x:c r="B20" t="str">
        <x:v>Pyramus (VIII)</x:v>
      </x:c>
      <x:c r="C20" t="str">
        <x:v>Cerebellum</x:v>
      </x:c>
      <x:c r="D20" s="17" t="b">
        <x:v>1</x:v>
      </x:c>
      <x:c r="E20" s="40" t="n">
        <x:v>-0.87</x:v>
      </x:c>
      <x:c r="F20" s="40" t="n">
        <x:v>0</x:v>
      </x:c>
      <x:c r="G20" s="40" t="n">
        <x:v>6.3829787234042</x:v>
      </x:c>
      <x:c r="H20" s="40" t="n">
        <x:v>0.5010170633883736</x:v>
      </x:c>
      <x:c r="I20" t="n">
        <x:v>1</x:v>
      </x:c>
      <x:c r="J20" s="17" t="b">
        <x:v>1</x:v>
      </x:c>
    </x:row>
    <x:row r="21">
      <x:c r="A21" t="str">
        <x:v>SIM</x:v>
      </x:c>
      <x:c r="B21" t="str">
        <x:v>Simple lobule</x:v>
      </x:c>
      <x:c r="C21" t="str">
        <x:v>Cerebellum</x:v>
      </x:c>
      <x:c r="D21" s="17" t="b">
        <x:v>1</x:v>
      </x:c>
      <x:c r="E21" s="40" t="n">
        <x:v>-0.54</x:v>
      </x:c>
      <x:c r="F21" s="40" t="n">
        <x:v>1</x:v>
      </x:c>
      <x:c r="G21" s="40" t="n">
        <x:v>89.3617021276595</x:v>
      </x:c>
      <x:c r="H21" s="40" t="n">
        <x:v>0.2277548842955774</x:v>
      </x:c>
      <x:c r="I21" t="n">
        <x:v>1</x:v>
      </x:c>
      <x:c r="J21" s="17" t="b">
        <x:v>1</x:v>
      </x:c>
    </x:row>
    <x:row r="22">
      <x:c r="A22" t="str">
        <x:v>UVU</x:v>
      </x:c>
      <x:c r="B22" t="str">
        <x:v>Uvula (IX)</x:v>
      </x:c>
      <x:c r="C22" t="str">
        <x:v>Cerebellum</x:v>
      </x:c>
      <x:c r="D22" s="17" t="b">
        <x:v>1</x:v>
      </x:c>
      <x:c r="E22" s="40" t="n">
        <x:v>-0.62</x:v>
      </x:c>
      <x:c r="F22" s="40" t="n">
        <x:v>0</x:v>
      </x:c>
      <x:c r="G22" s="40" t="n">
        <x:v>4.2553191489361</x:v>
      </x:c>
      <x:c r="H22" s="40" t="n">
        <x:v>0.2595301480279222</x:v>
      </x:c>
      <x:c r="I22" t="n">
        <x:v>0</x:v>
      </x:c>
      <x:c r="J22" s="17" t="b">
        <x:v>1</x:v>
      </x:c>
    </x:row>
    <x:row r="23">
      <x:c r="A23" t="str">
        <x:v>VeCB</x:v>
      </x:c>
      <x:c r="B23" t="str">
        <x:v>Vestibulocerebellar nucleus</x:v>
      </x:c>
      <x:c r="C23" t="str">
        <x:v>Cerebellum</x:v>
      </x:c>
      <x:c r="D23" s="17" t="b">
        <x:v>1</x:v>
      </x:c>
      <x:c r="E23" s="40" t="n">
        <x:v>-0.03</x:v>
      </x:c>
      <x:c r="F23" s="40" t="n">
        <x:v>1</x:v>
      </x:c>
      <x:c r="G23" s="40"/>
      <x:c r="H23" s="40"/>
      <x:c r="I23"/>
      <x:c r="J23" s="17" t="b">
        <x:v>1</x:v>
      </x:c>
    </x:row>
    <x:row r="24">
      <x:c r="A24" t="str">
        <x:v>AAA</x:v>
      </x:c>
      <x:c r="B24" t="str">
        <x:v>Anterior amygdalar area</x:v>
      </x:c>
      <x:c r="C24" t="str">
        <x:v>Cerebral nuclei</x:v>
      </x:c>
      <x:c r="D24" s="17" t="b">
        <x:v>1</x:v>
      </x:c>
      <x:c r="E24" s="40" t="n">
        <x:v>-0.5</x:v>
      </x:c>
      <x:c r="F24" s="40" t="n">
        <x:v>0</x:v>
      </x:c>
      <x:c r="G24" s="40"/>
      <x:c r="H24" s="40"/>
      <x:c r="I24"/>
      <x:c r="J24" s="17" t="b">
        <x:v>1</x:v>
      </x:c>
    </x:row>
    <x:row r="25">
      <x:c r="A25" t="str">
        <x:v>ACB</x:v>
      </x:c>
      <x:c r="B25" t="str">
        <x:v>Nucleus accumbens</x:v>
      </x:c>
      <x:c r="C25" t="str">
        <x:v>Cerebral nuclei</x:v>
      </x:c>
      <x:c r="D25" s="17" t="b">
        <x:v>1</x:v>
      </x:c>
      <x:c r="E25" s="40" t="n">
        <x:v>-0.91</x:v>
      </x:c>
      <x:c r="F25" s="40" t="n">
        <x:v>0</x:v>
      </x:c>
      <x:c r="G25" s="40" t="n">
        <x:v>85.1063829787234</x:v>
      </x:c>
      <x:c r="H25" s="40" t="n">
        <x:v>0.1227089703744309</x:v>
      </x:c>
      <x:c r="I25" t="n">
        <x:v>1</x:v>
      </x:c>
      <x:c r="J25" s="17" t="b">
        <x:v>1</x:v>
      </x:c>
    </x:row>
    <x:row r="26">
      <x:c r="A26" t="str">
        <x:v>BST</x:v>
      </x:c>
      <x:c r="B26" t="str">
        <x:v>Bed nuclei of the stria terminalis</x:v>
      </x:c>
      <x:c r="C26" t="str">
        <x:v>Cerebral nuclei</x:v>
      </x:c>
      <x:c r="D26" s="17" t="b">
        <x:v>1</x:v>
      </x:c>
      <x:c r="E26" s="40" t="n">
        <x:v>-1.07</x:v>
      </x:c>
      <x:c r="F26" s="40" t="n">
        <x:v>0</x:v>
      </x:c>
      <x:c r="G26" s="40" t="n">
        <x:v>4.2553191489361</x:v>
      </x:c>
      <x:c r="H26" s="40" t="n">
        <x:v>0.1374428011104928</x:v>
      </x:c>
      <x:c r="I26" t="n">
        <x:v>1</x:v>
      </x:c>
      <x:c r="J26" s="17" t="b">
        <x:v>1</x:v>
      </x:c>
    </x:row>
    <x:row r="27">
      <x:c r="A27" t="str">
        <x:v>CEA</x:v>
      </x:c>
      <x:c r="B27" t="str">
        <x:v>Central amygdalar nucleus</x:v>
      </x:c>
      <x:c r="C27" t="str">
        <x:v>Cerebral nuclei</x:v>
      </x:c>
      <x:c r="D27" s="17" t="b">
        <x:v>1</x:v>
      </x:c>
      <x:c r="E27" s="40" t="n">
        <x:v>-0.62</x:v>
      </x:c>
      <x:c r="F27" s="40" t="n">
        <x:v>1</x:v>
      </x:c>
      <x:c r="G27" s="40" t="n">
        <x:v>93.6170212765957</x:v>
      </x:c>
      <x:c r="H27" s="40" t="n">
        <x:v>0.3167208989909646</x:v>
      </x:c>
      <x:c r="I27" t="n">
        <x:v>1</x:v>
      </x:c>
      <x:c r="J27" s="17" t="b">
        <x:v>1</x:v>
      </x:c>
    </x:row>
    <x:row r="28">
      <x:c r="A28" t="str">
        <x:v>CP</x:v>
      </x:c>
      <x:c r="B28" t="str">
        <x:v>Caudoputamen</x:v>
      </x:c>
      <x:c r="C28" t="str">
        <x:v>Cerebral nuclei</x:v>
      </x:c>
      <x:c r="D28" s="17" t="b">
        <x:v>1</x:v>
      </x:c>
      <x:c r="E28" s="40" t="n">
        <x:v>-0.7</x:v>
      </x:c>
      <x:c r="F28" s="40" t="n">
        <x:v>1</x:v>
      </x:c>
      <x:c r="G28" s="40" t="n">
        <x:v>82.9787234042553</x:v>
      </x:c>
      <x:c r="H28" s="40" t="n">
        <x:v>0.2047247146378087</x:v>
      </x:c>
      <x:c r="I28" t="n">
        <x:v>1</x:v>
      </x:c>
      <x:c r="J28" s="17" t="b">
        <x:v>1</x:v>
      </x:c>
    </x:row>
    <x:row r="29">
      <x:c r="A29" t="str">
        <x:v>FS</x:v>
      </x:c>
      <x:c r="B29" t="str">
        <x:v>Fundus of striatum</x:v>
      </x:c>
      <x:c r="C29" t="str">
        <x:v>Cerebral nuclei</x:v>
      </x:c>
      <x:c r="D29" s="17" t="b">
        <x:v>1</x:v>
      </x:c>
      <x:c r="E29" s="40" t="n">
        <x:v>-0.61</x:v>
      </x:c>
      <x:c r="F29" s="40" t="n">
        <x:v>0</x:v>
      </x:c>
      <x:c r="G29" s="40"/>
      <x:c r="H29" s="40"/>
      <x:c r="I29"/>
      <x:c r="J29" s="17" t="b">
        <x:v>1</x:v>
      </x:c>
    </x:row>
    <x:row r="30">
      <x:c r="A30" t="str">
        <x:v>GPe</x:v>
      </x:c>
      <x:c r="B30" t="str">
        <x:v>Globus pallidus external segment</x:v>
      </x:c>
      <x:c r="C30" t="str">
        <x:v>Cerebral nuclei</x:v>
      </x:c>
      <x:c r="D30" s="17" t="b">
        <x:v>1</x:v>
      </x:c>
      <x:c r="E30" s="40" t="n">
        <x:v>-0.41</x:v>
      </x:c>
      <x:c r="F30" s="40" t="n">
        <x:v>1</x:v>
      </x:c>
      <x:c r="G30" s="40" t="n">
        <x:v>85.1063829787234</x:v>
      </x:c>
      <x:c r="H30" s="40" t="n">
        <x:v>0.5101172229656604</x:v>
      </x:c>
      <x:c r="I30" t="n">
        <x:v>1</x:v>
      </x:c>
      <x:c r="J30" s="17" t="b">
        <x:v>1</x:v>
      </x:c>
    </x:row>
    <x:row r="31">
      <x:c r="A31" t="str">
        <x:v>GPi</x:v>
      </x:c>
      <x:c r="B31" t="str">
        <x:v>Globus pallidus internal segment</x:v>
      </x:c>
      <x:c r="C31" t="str">
        <x:v>Cerebral nuclei</x:v>
      </x:c>
      <x:c r="D31" s="17" t="b">
        <x:v>1</x:v>
      </x:c>
      <x:c r="E31" s="40" t="n">
        <x:v>-0.37</x:v>
      </x:c>
      <x:c r="F31" s="40" t="n">
        <x:v>1</x:v>
      </x:c>
      <x:c r="G31" s="40"/>
      <x:c r="H31" s="40"/>
      <x:c r="I31"/>
      <x:c r="J31" s="17" t="b">
        <x:v>1</x:v>
      </x:c>
    </x:row>
    <x:row r="32">
      <x:c r="A32" t="str">
        <x:v>IA</x:v>
      </x:c>
      <x:c r="B32" t="str">
        <x:v>Intercalated amygdalar nucleus</x:v>
      </x:c>
      <x:c r="C32" t="str">
        <x:v>Cerebral nuclei</x:v>
      </x:c>
      <x:c r="D32" s="17" t="b">
        <x:v>1</x:v>
      </x:c>
      <x:c r="E32" s="40"/>
      <x:c r="F32" s="40"/>
      <x:c r="G32" s="40"/>
      <x:c r="H32" s="40"/>
      <x:c r="I32"/>
      <x:c r="J32" s="17" t="b">
        <x:v>0</x:v>
      </x:c>
    </x:row>
    <x:row r="33">
      <x:c r="A33" t="str">
        <x:v>LSc</x:v>
      </x:c>
      <x:c r="B33" t="str">
        <x:v>Lateral septal nucleus caudal (caudodorsal) part</x:v>
      </x:c>
      <x:c r="C33" t="str">
        <x:v>Cerebral nuclei</x:v>
      </x:c>
      <x:c r="D33" s="17" t="b">
        <x:v>1</x:v>
      </x:c>
      <x:c r="E33" s="40" t="n">
        <x:v>-1.11</x:v>
      </x:c>
      <x:c r="F33" s="40" t="n">
        <x:v>0</x:v>
      </x:c>
      <x:c r="G33" s="40" t="n">
        <x:v>0</x:v>
      </x:c>
      <x:c r="H33" s="40" t="n">
        <x:v>0.1204081432272397</x:v>
      </x:c>
      <x:c r="I33" t="n">
        <x:v>1</x:v>
      </x:c>
      <x:c r="J33" s="17" t="b">
        <x:v>1</x:v>
      </x:c>
    </x:row>
    <x:row r="34">
      <x:c r="A34" t="str">
        <x:v>LSr</x:v>
      </x:c>
      <x:c r="B34" t="str">
        <x:v>Lateral septal nucleus rostral (rostroventral) part</x:v>
      </x:c>
      <x:c r="C34" t="str">
        <x:v>Cerebral nuclei</x:v>
      </x:c>
      <x:c r="D34" s="17" t="b">
        <x:v>1</x:v>
      </x:c>
      <x:c r="E34" s="40" t="n">
        <x:v>-1.02</x:v>
      </x:c>
      <x:c r="F34" s="40" t="n">
        <x:v>1</x:v>
      </x:c>
      <x:c r="G34" s="40" t="n">
        <x:v>93.6170212765957</x:v>
      </x:c>
      <x:c r="H34" s="40" t="n">
        <x:v>0.125010644995119</x:v>
      </x:c>
      <x:c r="I34" t="n">
        <x:v>1</x:v>
      </x:c>
      <x:c r="J34" s="17" t="b">
        <x:v>1</x:v>
      </x:c>
    </x:row>
    <x:row r="35">
      <x:c r="A35" t="str">
        <x:v>LSv</x:v>
      </x:c>
      <x:c r="B35" t="str">
        <x:v>Lateral septal nucleus ventral part</x:v>
      </x:c>
      <x:c r="C35" t="str">
        <x:v>Cerebral nuclei</x:v>
      </x:c>
      <x:c r="D35" s="17" t="b">
        <x:v>1</x:v>
      </x:c>
      <x:c r="E35" s="40" t="n">
        <x:v>-0.53</x:v>
      </x:c>
      <x:c r="F35" s="40" t="n">
        <x:v>1</x:v>
      </x:c>
      <x:c r="G35" s="40" t="n">
        <x:v>4.2553191489361</x:v>
      </x:c>
      <x:c r="H35" s="40" t="n">
        <x:v>0.074651754273336</x:v>
      </x:c>
      <x:c r="I35" t="n">
        <x:v>0</x:v>
      </x:c>
      <x:c r="J35" s="17" t="b">
        <x:v>1</x:v>
      </x:c>
    </x:row>
    <x:row r="36">
      <x:c r="A36" t="str">
        <x:v>MA</x:v>
      </x:c>
      <x:c r="B36" t="str">
        <x:v>Magnocellular nucleus</x:v>
      </x:c>
      <x:c r="C36" t="str">
        <x:v>Cerebral nuclei</x:v>
      </x:c>
      <x:c r="D36" s="17" t="b">
        <x:v>1</x:v>
      </x:c>
      <x:c r="E36" s="40" t="n">
        <x:v>-0.64</x:v>
      </x:c>
      <x:c r="F36" s="40" t="n">
        <x:v>0</x:v>
      </x:c>
      <x:c r="G36" s="40"/>
      <x:c r="H36" s="40"/>
      <x:c r="I36"/>
      <x:c r="J36" s="17" t="b">
        <x:v>1</x:v>
      </x:c>
    </x:row>
    <x:row r="37">
      <x:c r="A37" t="str">
        <x:v>MEA</x:v>
      </x:c>
      <x:c r="B37" t="str">
        <x:v>Medial amygdalar nucleus</x:v>
      </x:c>
      <x:c r="C37" t="str">
        <x:v>Cerebral nuclei</x:v>
      </x:c>
      <x:c r="D37" s="17" t="b">
        <x:v>1</x:v>
      </x:c>
      <x:c r="E37" s="40" t="n">
        <x:v>-0.96</x:v>
      </x:c>
      <x:c r="F37" s="40" t="n">
        <x:v>0</x:v>
      </x:c>
      <x:c r="G37" s="40" t="n">
        <x:v>70.2127659574468</x:v>
      </x:c>
      <x:c r="H37" s="40" t="n">
        <x:v>0.0541180459023687</x:v>
      </x:c>
      <x:c r="I37" t="n">
        <x:v>0</x:v>
      </x:c>
      <x:c r="J37" s="17" t="b">
        <x:v>1</x:v>
      </x:c>
    </x:row>
    <x:row r="38">
      <x:c r="A38" t="str">
        <x:v>MS</x:v>
      </x:c>
      <x:c r="B38" t="str">
        <x:v>Medial septal nucleus</x:v>
      </x:c>
      <x:c r="C38" t="str">
        <x:v>Cerebral nuclei</x:v>
      </x:c>
      <x:c r="D38" s="17" t="b">
        <x:v>1</x:v>
      </x:c>
      <x:c r="E38" s="40" t="n">
        <x:v>-0.49</x:v>
      </x:c>
      <x:c r="F38" s="40" t="n">
        <x:v>1</x:v>
      </x:c>
      <x:c r="G38" s="40" t="n">
        <x:v>34.0425531914893</x:v>
      </x:c>
      <x:c r="H38" s="40" t="n">
        <x:v>0.4894520307681014</x:v>
      </x:c>
      <x:c r="I38" t="n">
        <x:v>1</x:v>
      </x:c>
      <x:c r="J38" s="17" t="b">
        <x:v>1</x:v>
      </x:c>
    </x:row>
    <x:row r="39">
      <x:c r="A39" t="str">
        <x:v>NDB</x:v>
      </x:c>
      <x:c r="B39" t="str">
        <x:v>Diagonal band nucleus</x:v>
      </x:c>
      <x:c r="C39" t="str">
        <x:v>Cerebral nuclei</x:v>
      </x:c>
      <x:c r="D39" s="17" t="b">
        <x:v>1</x:v>
      </x:c>
      <x:c r="E39" s="40" t="n">
        <x:v>-0.44</x:v>
      </x:c>
      <x:c r="F39" s="40" t="n">
        <x:v>0</x:v>
      </x:c>
      <x:c r="G39" s="40"/>
      <x:c r="H39" s="40"/>
      <x:c r="I39"/>
      <x:c r="J39" s="17" t="b">
        <x:v>1</x:v>
      </x:c>
    </x:row>
    <x:row r="40">
      <x:c r="A40" t="str">
        <x:v>OT</x:v>
      </x:c>
      <x:c r="B40" t="str">
        <x:v>Olfactory tubercle</x:v>
      </x:c>
      <x:c r="C40" t="str">
        <x:v>Cerebral nuclei</x:v>
      </x:c>
      <x:c r="D40" s="17" t="b">
        <x:v>1</x:v>
      </x:c>
      <x:c r="E40" s="40" t="n">
        <x:v>-0.77</x:v>
      </x:c>
      <x:c r="F40" s="40" t="n">
        <x:v>0</x:v>
      </x:c>
      <x:c r="G40" s="40" t="n">
        <x:v>48.9361702127659</x:v>
      </x:c>
      <x:c r="H40" s="40" t="n">
        <x:v>0.158448689800581</x:v>
      </x:c>
      <x:c r="I40" t="n">
        <x:v>0</x:v>
      </x:c>
      <x:c r="J40" s="17" t="b">
        <x:v>1</x:v>
      </x:c>
    </x:row>
    <x:row r="41">
      <x:c r="A41" t="str">
        <x:v>SF</x:v>
      </x:c>
      <x:c r="B41" t="str">
        <x:v>Septofimbrial nucleus</x:v>
      </x:c>
      <x:c r="C41" t="str">
        <x:v>Cerebral nuclei</x:v>
      </x:c>
      <x:c r="D41" s="17" t="b">
        <x:v>1</x:v>
      </x:c>
      <x:c r="E41" s="40" t="n">
        <x:v>-1.11</x:v>
      </x:c>
      <x:c r="F41" s="40" t="n">
        <x:v>0</x:v>
      </x:c>
      <x:c r="G41" s="40" t="n">
        <x:v>87.23404255319139</x:v>
      </x:c>
      <x:c r="H41" s="40" t="n">
        <x:v>0.1394447291935694</x:v>
      </x:c>
      <x:c r="I41" t="n">
        <x:v>1</x:v>
      </x:c>
      <x:c r="J41" s="17" t="b">
        <x:v>1</x:v>
      </x:c>
    </x:row>
    <x:row r="42">
      <x:c r="A42" t="str">
        <x:v>SH</x:v>
      </x:c>
      <x:c r="B42" t="str">
        <x:v>Septohippocampal nucleus</x:v>
      </x:c>
      <x:c r="C42" t="str">
        <x:v>Cerebral nuclei</x:v>
      </x:c>
      <x:c r="D42" s="17" t="b">
        <x:v>0</x:v>
      </x:c>
      <x:c r="E42" s="40"/>
      <x:c r="F42" s="40"/>
      <x:c r="G42" s="40"/>
      <x:c r="H42" s="40"/>
      <x:c r="I42"/>
      <x:c r="J42" s="17" t="b">
        <x:v>0</x:v>
      </x:c>
    </x:row>
    <x:row r="43">
      <x:c r="A43" t="str">
        <x:v>SI</x:v>
      </x:c>
      <x:c r="B43" t="str">
        <x:v>Substantia innominata</x:v>
      </x:c>
      <x:c r="C43" t="str">
        <x:v>Cerebral nuclei</x:v>
      </x:c>
      <x:c r="D43" s="17" t="b">
        <x:v>1</x:v>
      </x:c>
      <x:c r="E43" s="40" t="n">
        <x:v>-0.73</x:v>
      </x:c>
      <x:c r="F43" s="40" t="n">
        <x:v>1</x:v>
      </x:c>
      <x:c r="G43" s="40" t="n">
        <x:v>85.1063829787234</x:v>
      </x:c>
      <x:c r="H43" s="40" t="n">
        <x:v>0.1657834332898141</x:v>
      </x:c>
      <x:c r="I43" t="n">
        <x:v>0</x:v>
      </x:c>
      <x:c r="J43" s="17" t="b">
        <x:v>1</x:v>
      </x:c>
    </x:row>
    <x:row r="44">
      <x:c r="A44" t="str">
        <x:v>TRS</x:v>
      </x:c>
      <x:c r="B44" t="str">
        <x:v>Triangular nucleus of septum</x:v>
      </x:c>
      <x:c r="C44" t="str">
        <x:v>Cerebral nuclei</x:v>
      </x:c>
      <x:c r="D44" s="17" t="b">
        <x:v>1</x:v>
      </x:c>
      <x:c r="E44" s="40" t="n">
        <x:v>-0.98</x:v>
      </x:c>
      <x:c r="F44" s="40" t="n">
        <x:v>0</x:v>
      </x:c>
      <x:c r="G44" s="40" t="n">
        <x:v>2.1276595744680002</x:v>
      </x:c>
      <x:c r="H44" s="40" t="n">
        <x:v>0.1331135253761685</x:v>
      </x:c>
      <x:c r="I44" t="n">
        <x:v>0</x:v>
      </x:c>
      <x:c r="J44" s="17" t="b">
        <x:v>1</x:v>
      </x:c>
    </x:row>
    <x:row r="45">
      <x:c r="A45" t="str">
        <x:v>BLA</x:v>
      </x:c>
      <x:c r="B45" t="str">
        <x:v>Basolateral amygdalar nucleus</x:v>
      </x:c>
      <x:c r="C45" t="str">
        <x:v>Cortical subplate</x:v>
      </x:c>
      <x:c r="D45" s="17" t="b">
        <x:v>1</x:v>
      </x:c>
      <x:c r="E45" s="40" t="n">
        <x:v>-0.92</x:v>
      </x:c>
      <x:c r="F45" s="40" t="n">
        <x:v>0</x:v>
      </x:c>
      <x:c r="G45" s="40" t="n">
        <x:v>59.574468085106304</x:v>
      </x:c>
      <x:c r="H45" s="40" t="n">
        <x:v>0.081587152625529</x:v>
      </x:c>
      <x:c r="I45" t="n">
        <x:v>0</x:v>
      </x:c>
      <x:c r="J45" s="17" t="b">
        <x:v>1</x:v>
      </x:c>
    </x:row>
    <x:row r="46">
      <x:c r="A46" t="str">
        <x:v>BMA</x:v>
      </x:c>
      <x:c r="B46" t="str">
        <x:v>Basomedial amygdalar nucleus</x:v>
      </x:c>
      <x:c r="C46" t="str">
        <x:v>Cortical subplate</x:v>
      </x:c>
      <x:c r="D46" s="17" t="b">
        <x:v>1</x:v>
      </x:c>
      <x:c r="E46" s="40" t="n">
        <x:v>-1.07</x:v>
      </x:c>
      <x:c r="F46" s="40" t="n">
        <x:v>0</x:v>
      </x:c>
      <x:c r="G46" s="40" t="n">
        <x:v>63.829787234042506</x:v>
      </x:c>
      <x:c r="H46" s="40" t="n">
        <x:v>0.087919315859867</x:v>
      </x:c>
      <x:c r="I46" t="n">
        <x:v>0</x:v>
      </x:c>
      <x:c r="J46" s="17" t="b">
        <x:v>1</x:v>
      </x:c>
    </x:row>
    <x:row r="47">
      <x:c r="A47" t="str">
        <x:v>CLA</x:v>
      </x:c>
      <x:c r="B47" t="str">
        <x:v>Claustrum</x:v>
      </x:c>
      <x:c r="C47" t="str">
        <x:v>Cortical subplate</x:v>
      </x:c>
      <x:c r="D47" s="17" t="b">
        <x:v>1</x:v>
      </x:c>
      <x:c r="E47" s="40" t="n">
        <x:v>-0.69</x:v>
      </x:c>
      <x:c r="F47" s="40" t="n">
        <x:v>1</x:v>
      </x:c>
      <x:c r="G47" s="40"/>
      <x:c r="H47" s="40"/>
      <x:c r="I47"/>
      <x:c r="J47" s="17" t="b">
        <x:v>1</x:v>
      </x:c>
    </x:row>
    <x:row r="48">
      <x:c r="A48" t="str">
        <x:v>EPd</x:v>
      </x:c>
      <x:c r="B48" t="str">
        <x:v>Endopiriform nucleus dorsal part</x:v>
      </x:c>
      <x:c r="C48" t="str">
        <x:v>Cortical subplate</x:v>
      </x:c>
      <x:c r="D48" s="17" t="b">
        <x:v>1</x:v>
      </x:c>
      <x:c r="E48" s="40" t="n">
        <x:v>-1.14</x:v>
      </x:c>
      <x:c r="F48" s="40" t="n">
        <x:v>0</x:v>
      </x:c>
      <x:c r="G48" s="40" t="n">
        <x:v>93.6170212765957</x:v>
      </x:c>
      <x:c r="H48" s="40" t="n">
        <x:v>0.0695797255768466</x:v>
      </x:c>
      <x:c r="I48" t="n">
        <x:v>0</x:v>
      </x:c>
      <x:c r="J48" s="17" t="b">
        <x:v>1</x:v>
      </x:c>
    </x:row>
    <x:row r="49">
      <x:c r="A49" t="str">
        <x:v>EPv</x:v>
      </x:c>
      <x:c r="B49" t="str">
        <x:v>Endopiriform nucleus ventral part</x:v>
      </x:c>
      <x:c r="C49" t="str">
        <x:v>Cortical subplate</x:v>
      </x:c>
      <x:c r="D49" s="17" t="b">
        <x:v>1</x:v>
      </x:c>
      <x:c r="E49" s="40" t="n">
        <x:v>-1.01</x:v>
      </x:c>
      <x:c r="F49" s="40" t="n">
        <x:v>0</x:v>
      </x:c>
      <x:c r="G49" s="40" t="n">
        <x:v>19.1489361702127</x:v>
      </x:c>
      <x:c r="H49" s="40" t="n">
        <x:v>0.1203833788943715</x:v>
      </x:c>
      <x:c r="I49" t="n">
        <x:v>0</x:v>
      </x:c>
      <x:c r="J49" s="17" t="b">
        <x:v>1</x:v>
      </x:c>
    </x:row>
    <x:row r="50">
      <x:c r="A50" t="str">
        <x:v>LA</x:v>
      </x:c>
      <x:c r="B50" t="str">
        <x:v>Lateral amygdalar nucleus</x:v>
      </x:c>
      <x:c r="C50" t="str">
        <x:v>Cortical subplate</x:v>
      </x:c>
      <x:c r="D50" s="17" t="b">
        <x:v>1</x:v>
      </x:c>
      <x:c r="E50" s="40" t="n">
        <x:v>-0.86</x:v>
      </x:c>
      <x:c r="F50" s="40" t="n">
        <x:v>0</x:v>
      </x:c>
      <x:c r="G50" s="40" t="n">
        <x:v>38.2978723404255</x:v>
      </x:c>
      <x:c r="H50" s="40" t="n">
        <x:v>0.1349705970710508</x:v>
      </x:c>
      <x:c r="I50" t="n">
        <x:v>0</x:v>
      </x:c>
      <x:c r="J50" s="17" t="b">
        <x:v>1</x:v>
      </x:c>
    </x:row>
    <x:row r="51">
      <x:c r="A51" t="str">
        <x:v>PA</x:v>
      </x:c>
      <x:c r="B51" t="str">
        <x:v>Posterior amygdalar nucleus</x:v>
      </x:c>
      <x:c r="C51" t="str">
        <x:v>Cortical subplate</x:v>
      </x:c>
      <x:c r="D51" s="17" t="b">
        <x:v>1</x:v>
      </x:c>
      <x:c r="E51" s="40" t="n">
        <x:v>-0.95</x:v>
      </x:c>
      <x:c r="F51" s="40" t="n">
        <x:v>0</x:v>
      </x:c>
      <x:c r="G51" s="40" t="n">
        <x:v>14.8936170212765</x:v>
      </x:c>
      <x:c r="H51" s="40" t="n">
        <x:v>0.1281157450176698</x:v>
      </x:c>
      <x:c r="I51" t="n">
        <x:v>0</x:v>
      </x:c>
      <x:c r="J51" s="17" t="b">
        <x:v>1</x:v>
      </x:c>
    </x:row>
    <x:row r="52">
      <x:c r="A52" t="str">
        <x:v>AMB</x:v>
      </x:c>
      <x:c r="B52" t="str">
        <x:v>Nucleus ambiguus</x:v>
      </x:c>
      <x:c r="C52" t="str">
        <x:v>Hindbrain</x:v>
      </x:c>
      <x:c r="D52" s="17" t="b">
        <x:v>0</x:v>
      </x:c>
      <x:c r="E52" s="40"/>
      <x:c r="F52" s="40"/>
      <x:c r="G52" s="40"/>
      <x:c r="H52" s="40"/>
      <x:c r="I52"/>
      <x:c r="J52" s="17" t="b">
        <x:v>0</x:v>
      </x:c>
    </x:row>
    <x:row r="53">
      <x:c r="A53" t="str">
        <x:v>AP</x:v>
      </x:c>
      <x:c r="B53" t="str">
        <x:v>Area postrema</x:v>
      </x:c>
      <x:c r="C53" t="str">
        <x:v>Hindbrain</x:v>
      </x:c>
      <x:c r="D53" s="17" t="b">
        <x:v>0</x:v>
      </x:c>
      <x:c r="E53" s="40"/>
      <x:c r="F53" s="40"/>
      <x:c r="G53" s="40"/>
      <x:c r="H53" s="40"/>
      <x:c r="I53"/>
      <x:c r="J53" s="17" t="b">
        <x:v>0</x:v>
      </x:c>
    </x:row>
    <x:row r="54">
      <x:c r="A54" t="str">
        <x:v>CS</x:v>
      </x:c>
      <x:c r="B54" t="str">
        <x:v>Superior central nucleus raphe</x:v>
      </x:c>
      <x:c r="C54" t="str">
        <x:v>Hindbrain</x:v>
      </x:c>
      <x:c r="D54" s="17" t="b">
        <x:v>1</x:v>
      </x:c>
      <x:c r="E54" s="40" t="n">
        <x:v>-0.6</x:v>
      </x:c>
      <x:c r="F54" s="40" t="n">
        <x:v>1</x:v>
      </x:c>
      <x:c r="G54" s="40" t="n">
        <x:v>6.3829787234042</x:v>
      </x:c>
      <x:c r="H54" s="40" t="n">
        <x:v>0.4565302651232558</x:v>
      </x:c>
      <x:c r="I54" t="n">
        <x:v>1</x:v>
      </x:c>
      <x:c r="J54" s="17" t="b">
        <x:v>1</x:v>
      </x:c>
    </x:row>
    <x:row r="55">
      <x:c r="A55" t="str">
        <x:v>CU</x:v>
      </x:c>
      <x:c r="B55" t="str">
        <x:v>Cuneate nucleus</x:v>
      </x:c>
      <x:c r="C55" t="str">
        <x:v>Hindbrain</x:v>
      </x:c>
      <x:c r="D55" s="17" t="b">
        <x:v>1</x:v>
      </x:c>
      <x:c r="E55" s="40" t="n">
        <x:v>-0.56</x:v>
      </x:c>
      <x:c r="F55" s="40" t="n">
        <x:v>0</x:v>
      </x:c>
      <x:c r="G55" s="40"/>
      <x:c r="H55" s="40"/>
      <x:c r="I55"/>
      <x:c r="J55" s="17" t="b">
        <x:v>1</x:v>
      </x:c>
    </x:row>
    <x:row r="56">
      <x:c r="A56" t="str">
        <x:v>DCO</x:v>
      </x:c>
      <x:c r="B56" t="str">
        <x:v>Dorsal cochlear nucleus</x:v>
      </x:c>
      <x:c r="C56" t="str">
        <x:v>Hindbrain</x:v>
      </x:c>
      <x:c r="D56" s="17" t="b">
        <x:v>1</x:v>
      </x:c>
      <x:c r="E56" s="40" t="n">
        <x:v>-0.71</x:v>
      </x:c>
      <x:c r="F56" s="40" t="n">
        <x:v>0</x:v>
      </x:c>
      <x:c r="G56" s="40" t="n">
        <x:v>93.6170212765957</x:v>
      </x:c>
      <x:c r="H56" s="40" t="n">
        <x:v>0.4293775010486466</x:v>
      </x:c>
      <x:c r="I56" t="n">
        <x:v>1</x:v>
      </x:c>
      <x:c r="J56" s="17" t="b">
        <x:v>1</x:v>
      </x:c>
    </x:row>
    <x:row r="57">
      <x:c r="A57" t="str">
        <x:v>DMX</x:v>
      </x:c>
      <x:c r="B57" t="str">
        <x:v>Dorsal motor nucleus of the vagus nerve</x:v>
      </x:c>
      <x:c r="C57" t="str">
        <x:v>Hindbrain</x:v>
      </x:c>
      <x:c r="D57" s="17" t="b">
        <x:v>0</x:v>
      </x:c>
      <x:c r="E57" s="40"/>
      <x:c r="F57" s="40"/>
      <x:c r="G57" s="40"/>
      <x:c r="H57" s="40"/>
      <x:c r="I57"/>
      <x:c r="J57" s="17" t="b">
        <x:v>0</x:v>
      </x:c>
    </x:row>
    <x:row r="58">
      <x:c r="A58" t="str">
        <x:v>DTN</x:v>
      </x:c>
      <x:c r="B58" t="str">
        <x:v>Dorsal tegmental nucleus</x:v>
      </x:c>
      <x:c r="C58" t="str">
        <x:v>Hindbrain</x:v>
      </x:c>
      <x:c r="D58" s="17" t="b">
        <x:v>0</x:v>
      </x:c>
      <x:c r="E58" s="40"/>
      <x:c r="F58" s="40"/>
      <x:c r="G58" s="40"/>
      <x:c r="H58" s="40"/>
      <x:c r="I58"/>
      <x:c r="J58" s="17" t="b">
        <x:v>0</x:v>
      </x:c>
    </x:row>
    <x:row r="59">
      <x:c r="A59" t="str">
        <x:v>ECU</x:v>
      </x:c>
      <x:c r="B59" t="str">
        <x:v>External cuneate nucleus</x:v>
      </x:c>
      <x:c r="C59" t="str">
        <x:v>Hindbrain</x:v>
      </x:c>
      <x:c r="D59" s="17" t="b">
        <x:v>1</x:v>
      </x:c>
      <x:c r="E59" s="40"/>
      <x:c r="F59" s="40"/>
      <x:c r="G59" s="40"/>
      <x:c r="H59" s="40"/>
      <x:c r="I59"/>
      <x:c r="J59" s="17" t="b">
        <x:v>0</x:v>
      </x:c>
    </x:row>
    <x:row r="60">
      <x:c r="A60" t="str">
        <x:v>GR</x:v>
      </x:c>
      <x:c r="B60" t="str">
        <x:v>Gracile nucleus</x:v>
      </x:c>
      <x:c r="C60" t="str">
        <x:v>Hindbrain</x:v>
      </x:c>
      <x:c r="D60" s="17" t="b">
        <x:v>0</x:v>
      </x:c>
      <x:c r="E60" s="40"/>
      <x:c r="F60" s="40"/>
      <x:c r="G60" s="40"/>
      <x:c r="H60" s="40"/>
      <x:c r="I60"/>
      <x:c r="J60" s="17" t="b">
        <x:v>0</x:v>
      </x:c>
    </x:row>
    <x:row r="61">
      <x:c r="A61" t="str">
        <x:v>GRN</x:v>
      </x:c>
      <x:c r="B61" t="str">
        <x:v>Gigantocellular reticular nucleus</x:v>
      </x:c>
      <x:c r="C61" t="str">
        <x:v>Hindbrain</x:v>
      </x:c>
      <x:c r="D61" s="17" t="b">
        <x:v>1</x:v>
      </x:c>
      <x:c r="E61" s="40" t="n">
        <x:v>0</x:v>
      </x:c>
      <x:c r="F61" s="40" t="n">
        <x:v>1</x:v>
      </x:c>
      <x:c r="G61" s="40" t="n">
        <x:v>89.3617021276595</x:v>
      </x:c>
      <x:c r="H61" s="40" t="n">
        <x:v>1.253260899714055</x:v>
      </x:c>
      <x:c r="I61" t="n">
        <x:v>1</x:v>
      </x:c>
      <x:c r="J61" s="17" t="b">
        <x:v>1</x:v>
      </x:c>
    </x:row>
    <x:row r="62">
      <x:c r="A62" t="str">
        <x:v>I5</x:v>
      </x:c>
      <x:c r="B62" t="str">
        <x:v>Intertrigeminal nucleus</x:v>
      </x:c>
      <x:c r="C62" t="str">
        <x:v>Hindbrain</x:v>
      </x:c>
      <x:c r="D62" s="17" t="b">
        <x:v>1</x:v>
      </x:c>
      <x:c r="E62" s="40" t="n">
        <x:v>-0.56</x:v>
      </x:c>
      <x:c r="F62" s="40" t="n">
        <x:v>0</x:v>
      </x:c>
      <x:c r="G62" s="40"/>
      <x:c r="H62" s="40"/>
      <x:c r="I62"/>
      <x:c r="J62" s="17" t="b">
        <x:v>1</x:v>
      </x:c>
    </x:row>
    <x:row r="63">
      <x:c r="A63" t="str">
        <x:v>ICB</x:v>
      </x:c>
      <x:c r="B63" t="str">
        <x:v>Infracerebellar nucleus</x:v>
      </x:c>
      <x:c r="C63" t="str">
        <x:v>Hindbrain</x:v>
      </x:c>
      <x:c r="D63" s="17" t="b">
        <x:v>1</x:v>
      </x:c>
      <x:c r="E63" s="40" t="n">
        <x:v>-0.39</x:v>
      </x:c>
      <x:c r="F63" s="40" t="n">
        <x:v>0</x:v>
      </x:c>
      <x:c r="G63" s="40"/>
      <x:c r="H63" s="40"/>
      <x:c r="I63"/>
      <x:c r="J63" s="17" t="b">
        <x:v>1</x:v>
      </x:c>
    </x:row>
    <x:row r="64">
      <x:c r="A64" t="str">
        <x:v>IO</x:v>
      </x:c>
      <x:c r="B64" t="str">
        <x:v>Inferior olivary complex</x:v>
      </x:c>
      <x:c r="C64" t="str">
        <x:v>Hindbrain</x:v>
      </x:c>
      <x:c r="D64" s="17" t="b">
        <x:v>0</x:v>
      </x:c>
      <x:c r="E64" s="40"/>
      <x:c r="F64" s="40"/>
      <x:c r="G64" s="40"/>
      <x:c r="H64" s="40"/>
      <x:c r="I64"/>
      <x:c r="J64" s="17" t="b">
        <x:v>0</x:v>
      </x:c>
    </x:row>
    <x:row r="65">
      <x:c r="A65" t="str">
        <x:v>IRN</x:v>
      </x:c>
      <x:c r="B65" t="str">
        <x:v>Intermediate reticular nucleus</x:v>
      </x:c>
      <x:c r="C65" t="str">
        <x:v>Hindbrain</x:v>
      </x:c>
      <x:c r="D65" s="17" t="b">
        <x:v>1</x:v>
      </x:c>
      <x:c r="E65" s="40" t="n">
        <x:v>-0.28</x:v>
      </x:c>
      <x:c r="F65" s="40" t="n">
        <x:v>1</x:v>
      </x:c>
      <x:c r="G65" s="40" t="n">
        <x:v>89.3617021276595</x:v>
      </x:c>
      <x:c r="H65" s="40" t="n">
        <x:v>0.8507131206370009</x:v>
      </x:c>
      <x:c r="I65" t="n">
        <x:v>1</x:v>
      </x:c>
      <x:c r="J65" s="17" t="b">
        <x:v>1</x:v>
      </x:c>
    </x:row>
    <x:row r="66">
      <x:c r="A66" t="str">
        <x:v>ISN</x:v>
      </x:c>
      <x:c r="B66" t="str">
        <x:v>Inferior salivatory nucleus</x:v>
      </x:c>
      <x:c r="C66" t="str">
        <x:v>Hindbrain</x:v>
      </x:c>
      <x:c r="D66" s="17" t="b">
        <x:v>0</x:v>
      </x:c>
      <x:c r="E66" s="40"/>
      <x:c r="F66" s="40"/>
      <x:c r="G66" s="40"/>
      <x:c r="H66" s="40"/>
      <x:c r="I66"/>
      <x:c r="J66" s="17" t="b">
        <x:v>0</x:v>
      </x:c>
    </x:row>
    <x:row r="67">
      <x:c r="A67" t="str">
        <x:v>LAV</x:v>
      </x:c>
      <x:c r="B67" t="str">
        <x:v>Lateral vestibular nucleus</x:v>
      </x:c>
      <x:c r="C67" t="str">
        <x:v>Hindbrain</x:v>
      </x:c>
      <x:c r="D67" s="17" t="b">
        <x:v>1</x:v>
      </x:c>
      <x:c r="E67" s="40" t="n">
        <x:v>-0.54</x:v>
      </x:c>
      <x:c r="F67" s="40" t="n">
        <x:v>1</x:v>
      </x:c>
      <x:c r="G67" s="40"/>
      <x:c r="H67" s="40"/>
      <x:c r="I67"/>
      <x:c r="J67" s="17" t="b">
        <x:v>1</x:v>
      </x:c>
    </x:row>
    <x:row r="68">
      <x:c r="A68" t="str">
        <x:v>LC</x:v>
      </x:c>
      <x:c r="B68" t="str">
        <x:v>Locus ceruleus</x:v>
      </x:c>
      <x:c r="C68" t="str">
        <x:v>Hindbrain</x:v>
      </x:c>
      <x:c r="D68" s="17" t="b">
        <x:v>0</x:v>
      </x:c>
      <x:c r="E68" s="40"/>
      <x:c r="F68" s="40"/>
      <x:c r="G68" s="40"/>
      <x:c r="H68" s="40"/>
      <x:c r="I68"/>
      <x:c r="J68" s="17" t="b">
        <x:v>0</x:v>
      </x:c>
    </x:row>
    <x:row r="69">
      <x:c r="A69" t="str">
        <x:v>LDT</x:v>
      </x:c>
      <x:c r="B69" t="str">
        <x:v>Laterodorsal tegmental nucleus</x:v>
      </x:c>
      <x:c r="C69" t="str">
        <x:v>Hindbrain</x:v>
      </x:c>
      <x:c r="D69" s="17" t="b">
        <x:v>1</x:v>
      </x:c>
      <x:c r="E69" s="40" t="n">
        <x:v>-0.52</x:v>
      </x:c>
      <x:c r="F69" s="40" t="n">
        <x:v>1</x:v>
      </x:c>
      <x:c r="G69" s="40" t="n">
        <x:v>80.8510638297872</x:v>
      </x:c>
      <x:c r="H69" s="40" t="n">
        <x:v>0.2095032360720383</x:v>
      </x:c>
      <x:c r="I69" t="n">
        <x:v>0</x:v>
      </x:c>
      <x:c r="J69" s="17" t="b">
        <x:v>1</x:v>
      </x:c>
    </x:row>
    <x:row r="70">
      <x:c r="A70" t="str">
        <x:v>LIN</x:v>
      </x:c>
      <x:c r="B70" t="str">
        <x:v>Linear nucleus of the medulla</x:v>
      </x:c>
      <x:c r="C70" t="str">
        <x:v>Hindbrain</x:v>
      </x:c>
      <x:c r="D70" s="17" t="b">
        <x:v>0</x:v>
      </x:c>
      <x:c r="E70" s="40"/>
      <x:c r="F70" s="40"/>
      <x:c r="G70" s="40"/>
      <x:c r="H70" s="40"/>
      <x:c r="I70"/>
      <x:c r="J70" s="17" t="b">
        <x:v>0</x:v>
      </x:c>
    </x:row>
    <x:row r="71">
      <x:c r="A71" t="str">
        <x:v>LRN</x:v>
      </x:c>
      <x:c r="B71" t="str">
        <x:v>Lateral reticular nucleus</x:v>
      </x:c>
      <x:c r="C71" t="str">
        <x:v>Hindbrain</x:v>
      </x:c>
      <x:c r="D71" s="17" t="b">
        <x:v>1</x:v>
      </x:c>
      <x:c r="E71" s="40" t="n">
        <x:v>-0.21</x:v>
      </x:c>
      <x:c r="F71" s="40" t="n">
        <x:v>1</x:v>
      </x:c>
      <x:c r="G71" s="40"/>
      <x:c r="H71" s="40"/>
      <x:c r="I71"/>
      <x:c r="J71" s="17" t="b">
        <x:v>1</x:v>
      </x:c>
    </x:row>
    <x:row r="72">
      <x:c r="A72" t="str">
        <x:v>MARN</x:v>
      </x:c>
      <x:c r="B72" t="str">
        <x:v>Magnocellular reticular nucleus</x:v>
      </x:c>
      <x:c r="C72" t="str">
        <x:v>Hindbrain</x:v>
      </x:c>
      <x:c r="D72" s="17" t="b">
        <x:v>1</x:v>
      </x:c>
      <x:c r="E72" s="40" t="n">
        <x:v>-0.53</x:v>
      </x:c>
      <x:c r="F72" s="40" t="n">
        <x:v>0</x:v>
      </x:c>
      <x:c r="G72" s="40"/>
      <x:c r="H72" s="40"/>
      <x:c r="I72"/>
      <x:c r="J72" s="17" t="b">
        <x:v>1</x:v>
      </x:c>
    </x:row>
    <x:row r="73">
      <x:c r="A73" t="str">
        <x:v>MDRN</x:v>
      </x:c>
      <x:c r="B73" t="str">
        <x:v>Medullary reticular nucleus</x:v>
      </x:c>
      <x:c r="C73" t="str">
        <x:v>Hindbrain</x:v>
      </x:c>
      <x:c r="D73" s="17" t="b">
        <x:v>1</x:v>
      </x:c>
      <x:c r="E73" s="40" t="n">
        <x:v>-0.66</x:v>
      </x:c>
      <x:c r="F73" s="40" t="n">
        <x:v>1</x:v>
      </x:c>
      <x:c r="G73" s="40" t="n">
        <x:v>34.0425531914893</x:v>
      </x:c>
      <x:c r="H73" s="40" t="n">
        <x:v>0.188324163475056</x:v>
      </x:c>
      <x:c r="I73" t="n">
        <x:v>1</x:v>
      </x:c>
      <x:c r="J73" s="17" t="b">
        <x:v>1</x:v>
      </x:c>
    </x:row>
    <x:row r="74">
      <x:c r="A74" t="str">
        <x:v>MV</x:v>
      </x:c>
      <x:c r="B74" t="str">
        <x:v>Medial vestibular nucleus</x:v>
      </x:c>
      <x:c r="C74" t="str">
        <x:v>Hindbrain</x:v>
      </x:c>
      <x:c r="D74" s="17" t="b">
        <x:v>1</x:v>
      </x:c>
      <x:c r="E74" s="40" t="n">
        <x:v>-0.8</x:v>
      </x:c>
      <x:c r="F74" s="40" t="n">
        <x:v>1</x:v>
      </x:c>
      <x:c r="G74" s="40" t="n">
        <x:v>0</x:v>
      </x:c>
      <x:c r="H74" s="40" t="n">
        <x:v>0.1298831190788408</x:v>
      </x:c>
      <x:c r="I74" t="n">
        <x:v>1</x:v>
      </x:c>
      <x:c r="J74" s="17" t="b">
        <x:v>1</x:v>
      </x:c>
    </x:row>
    <x:row r="75">
      <x:c r="A75" t="str">
        <x:v>NI</x:v>
      </x:c>
      <x:c r="B75" t="str">
        <x:v>Nucleus incertus</x:v>
      </x:c>
      <x:c r="C75" t="str">
        <x:v>Hindbrain</x:v>
      </x:c>
      <x:c r="D75" s="17" t="b">
        <x:v>0</x:v>
      </x:c>
      <x:c r="E75" s="40"/>
      <x:c r="F75" s="40"/>
      <x:c r="G75" s="40"/>
      <x:c r="H75" s="40"/>
      <x:c r="I75"/>
      <x:c r="J75" s="17" t="b">
        <x:v>0</x:v>
      </x:c>
    </x:row>
    <x:row r="76">
      <x:c r="A76" t="str">
        <x:v>NLL</x:v>
      </x:c>
      <x:c r="B76" t="str">
        <x:v>Nucleus of the lateral lemniscus</x:v>
      </x:c>
      <x:c r="C76" t="str">
        <x:v>Hindbrain</x:v>
      </x:c>
      <x:c r="D76" s="17" t="b">
        <x:v>1</x:v>
      </x:c>
      <x:c r="E76" s="40" t="n">
        <x:v>-0.76</x:v>
      </x:c>
      <x:c r="F76" s="40" t="n">
        <x:v>0</x:v>
      </x:c>
      <x:c r="G76" s="40" t="n">
        <x:v>63.829787234042506</x:v>
      </x:c>
      <x:c r="H76" s="40" t="n">
        <x:v>0.1758689811519461</x:v>
      </x:c>
      <x:c r="I76" t="n">
        <x:v>0</x:v>
      </x:c>
      <x:c r="J76" s="17" t="b">
        <x:v>1</x:v>
      </x:c>
    </x:row>
    <x:row r="77">
      <x:c r="A77" t="str">
        <x:v>NTS</x:v>
      </x:c>
      <x:c r="B77" t="str">
        <x:v>Nucleus of the solitary tract</x:v>
      </x:c>
      <x:c r="C77" t="str">
        <x:v>Hindbrain</x:v>
      </x:c>
      <x:c r="D77" s="17" t="b">
        <x:v>1</x:v>
      </x:c>
      <x:c r="E77" s="40" t="n">
        <x:v>-0.81</x:v>
      </x:c>
      <x:c r="F77" s="40" t="n">
        <x:v>0</x:v>
      </x:c>
      <x:c r="G77" s="40"/>
      <x:c r="H77" s="40"/>
      <x:c r="I77"/>
      <x:c r="J77" s="17" t="b">
        <x:v>1</x:v>
      </x:c>
    </x:row>
    <x:row r="78">
      <x:c r="A78" t="str">
        <x:v>P5</x:v>
      </x:c>
      <x:c r="B78" t="str">
        <x:v>Peritrigeminal zone</x:v>
      </x:c>
      <x:c r="C78" t="str">
        <x:v>Hindbrain</x:v>
      </x:c>
      <x:c r="D78" s="17" t="b">
        <x:v>1</x:v>
      </x:c>
      <x:c r="E78" s="40" t="n">
        <x:v>-0.61</x:v>
      </x:c>
      <x:c r="F78" s="40" t="n">
        <x:v>0</x:v>
      </x:c>
      <x:c r="G78" s="40"/>
      <x:c r="H78" s="40"/>
      <x:c r="I78"/>
      <x:c r="J78" s="17" t="b">
        <x:v>1</x:v>
      </x:c>
    </x:row>
    <x:row r="79">
      <x:c r="A79" t="str">
        <x:v>PARN</x:v>
      </x:c>
      <x:c r="B79" t="str">
        <x:v>Parvicellular reticular nucleus</x:v>
      </x:c>
      <x:c r="C79" t="str">
        <x:v>Hindbrain</x:v>
      </x:c>
      <x:c r="D79" s="17" t="b">
        <x:v>1</x:v>
      </x:c>
      <x:c r="E79" s="40" t="n">
        <x:v>-0.87</x:v>
      </x:c>
      <x:c r="F79" s="40" t="n">
        <x:v>0</x:v>
      </x:c>
      <x:c r="G79" s="40" t="n">
        <x:v>63.829787234042506</x:v>
      </x:c>
      <x:c r="H79" s="40" t="n">
        <x:v>0.2598782621694482</x:v>
      </x:c>
      <x:c r="I79" t="n">
        <x:v>1</x:v>
      </x:c>
      <x:c r="J79" s="17" t="b">
        <x:v>1</x:v>
      </x:c>
    </x:row>
    <x:row r="80">
      <x:c r="A80" t="str">
        <x:v>PAS</x:v>
      </x:c>
      <x:c r="B80" t="str">
        <x:v>Parasolitary nucleus</x:v>
      </x:c>
      <x:c r="C80" t="str">
        <x:v>Hindbrain</x:v>
      </x:c>
      <x:c r="D80" s="17" t="b">
        <x:v>0</x:v>
      </x:c>
      <x:c r="E80" s="40"/>
      <x:c r="F80" s="40"/>
      <x:c r="G80" s="40"/>
      <x:c r="H80" s="40"/>
      <x:c r="I80"/>
      <x:c r="J80" s="17" t="b">
        <x:v>0</x:v>
      </x:c>
    </x:row>
    <x:row r="81">
      <x:c r="A81" t="str">
        <x:v>PB</x:v>
      </x:c>
      <x:c r="B81" t="str">
        <x:v>Parabrachial nucleus</x:v>
      </x:c>
      <x:c r="C81" t="str">
        <x:v>Hindbrain</x:v>
      </x:c>
      <x:c r="D81" s="17" t="b">
        <x:v>1</x:v>
      </x:c>
      <x:c r="E81" s="40" t="n">
        <x:v>-0.72</x:v>
      </x:c>
      <x:c r="F81" s="40" t="n">
        <x:v>0</x:v>
      </x:c>
      <x:c r="G81" s="40" t="n">
        <x:v>51.063829787234</x:v>
      </x:c>
      <x:c r="H81" s="40" t="n">
        <x:v>0.1700151719064463</x:v>
      </x:c>
      <x:c r="I81" t="n">
        <x:v>1</x:v>
      </x:c>
      <x:c r="J81" s="17" t="b">
        <x:v>1</x:v>
      </x:c>
    </x:row>
    <x:row r="82">
      <x:c r="A82" t="str">
        <x:v>PC5</x:v>
      </x:c>
      <x:c r="B82" t="str">
        <x:v>Parvicellular motor 5 nucleus</x:v>
      </x:c>
      <x:c r="C82" t="str">
        <x:v>Hindbrain</x:v>
      </x:c>
      <x:c r="D82" s="17" t="b">
        <x:v>1</x:v>
      </x:c>
      <x:c r="E82" s="40" t="n">
        <x:v>-0.6</x:v>
      </x:c>
      <x:c r="F82" s="40" t="n">
        <x:v>0</x:v>
      </x:c>
      <x:c r="G82" s="40"/>
      <x:c r="H82" s="40"/>
      <x:c r="I82"/>
      <x:c r="J82" s="17" t="b">
        <x:v>1</x:v>
      </x:c>
    </x:row>
    <x:row r="83">
      <x:c r="A83" t="str">
        <x:v>PCG</x:v>
      </x:c>
      <x:c r="B83" t="str">
        <x:v>Pontine central gray</x:v>
      </x:c>
      <x:c r="C83" t="str">
        <x:v>Hindbrain</x:v>
      </x:c>
      <x:c r="D83" s="17" t="b">
        <x:v>1</x:v>
      </x:c>
      <x:c r="E83" s="40" t="n">
        <x:v>-0.59</x:v>
      </x:c>
      <x:c r="F83" s="40" t="n">
        <x:v>0</x:v>
      </x:c>
      <x:c r="G83" s="40"/>
      <x:c r="H83" s="40"/>
      <x:c r="I83"/>
      <x:c r="J83" s="17" t="b">
        <x:v>1</x:v>
      </x:c>
    </x:row>
    <x:row r="84">
      <x:c r="A84" t="str">
        <x:v>PDTg</x:v>
      </x:c>
      <x:c r="B84" t="str">
        <x:v>Posterodorsal tegmental nucleus</x:v>
      </x:c>
      <x:c r="C84" t="str">
        <x:v>Hindbrain</x:v>
      </x:c>
      <x:c r="D84" s="17" t="b">
        <x:v>0</x:v>
      </x:c>
      <x:c r="E84" s="40"/>
      <x:c r="F84" s="40"/>
      <x:c r="G84" s="40"/>
      <x:c r="H84" s="40"/>
      <x:c r="I84"/>
      <x:c r="J84" s="17" t="b">
        <x:v>0</x:v>
      </x:c>
    </x:row>
    <x:row r="85">
      <x:c r="A85" t="str">
        <x:v>PG</x:v>
      </x:c>
      <x:c r="B85" t="str">
        <x:v>Pontine gray</x:v>
      </x:c>
      <x:c r="C85" t="str">
        <x:v>Hindbrain</x:v>
      </x:c>
      <x:c r="D85" s="17" t="b">
        <x:v>0</x:v>
      </x:c>
      <x:c r="E85" s="40"/>
      <x:c r="F85" s="40"/>
      <x:c r="G85" s="40"/>
      <x:c r="H85" s="40"/>
      <x:c r="I85"/>
      <x:c r="J85" s="17" t="b">
        <x:v>0</x:v>
      </x:c>
    </x:row>
    <x:row r="86">
      <x:c r="A86" t="str">
        <x:v>PGRN</x:v>
      </x:c>
      <x:c r="B86" t="str">
        <x:v>Paragigantocellular reticular nucleus</x:v>
      </x:c>
      <x:c r="C86" t="str">
        <x:v>Hindbrain</x:v>
      </x:c>
      <x:c r="D86" s="17" t="b">
        <x:v>1</x:v>
      </x:c>
      <x:c r="E86" s="40" t="n">
        <x:v>-0.23</x:v>
      </x:c>
      <x:c r="F86" s="40" t="n">
        <x:v>1</x:v>
      </x:c>
      <x:c r="G86" s="40"/>
      <x:c r="H86" s="40"/>
      <x:c r="I86"/>
      <x:c r="J86" s="17" t="b">
        <x:v>1</x:v>
      </x:c>
    </x:row>
    <x:row r="87">
      <x:c r="A87" t="str">
        <x:v>PRNc</x:v>
      </x:c>
      <x:c r="B87" t="str">
        <x:v>Pontine reticular nucleus caudal part</x:v>
      </x:c>
      <x:c r="C87" t="str">
        <x:v>Hindbrain</x:v>
      </x:c>
      <x:c r="D87" s="17" t="b">
        <x:v>1</x:v>
      </x:c>
      <x:c r="E87" s="40" t="n">
        <x:v>0</x:v>
      </x:c>
      <x:c r="F87" s="40" t="n">
        <x:v>1</x:v>
      </x:c>
      <x:c r="G87" s="40" t="n">
        <x:v>80.8510638297872</x:v>
      </x:c>
      <x:c r="H87" s="40" t="n">
        <x:v>1.2768041731517128</x:v>
      </x:c>
      <x:c r="I87" t="n">
        <x:v>1</x:v>
      </x:c>
      <x:c r="J87" s="17" t="b">
        <x:v>1</x:v>
      </x:c>
    </x:row>
    <x:row r="88">
      <x:c r="A88" t="str">
        <x:v>PRNr</x:v>
      </x:c>
      <x:c r="B88" t="str">
        <x:v>Pontine reticular nucleus</x:v>
      </x:c>
      <x:c r="C88" t="str">
        <x:v>Hindbrain</x:v>
      </x:c>
      <x:c r="D88" s="17" t="b">
        <x:v>1</x:v>
      </x:c>
      <x:c r="E88" s="40" t="n">
        <x:v>-0.35</x:v>
      </x:c>
      <x:c r="F88" s="40" t="n">
        <x:v>1</x:v>
      </x:c>
      <x:c r="G88" s="40" t="n">
        <x:v>89.3617021276595</x:v>
      </x:c>
      <x:c r="H88" s="40" t="n">
        <x:v>0.5706780060471106</x:v>
      </x:c>
      <x:c r="I88" t="n">
        <x:v>1</x:v>
      </x:c>
      <x:c r="J88" s="17" t="b">
        <x:v>1</x:v>
      </x:c>
    </x:row>
    <x:row r="89">
      <x:c r="A89" t="str">
        <x:v>PRP</x:v>
      </x:c>
      <x:c r="B89" t="str">
        <x:v>Nucleus prepositus</x:v>
      </x:c>
      <x:c r="C89" t="str">
        <x:v>Hindbrain</x:v>
      </x:c>
      <x:c r="D89" s="17" t="b">
        <x:v>1</x:v>
      </x:c>
      <x:c r="E89" s="40" t="n">
        <x:v>-0.26</x:v>
      </x:c>
      <x:c r="F89" s="40" t="n">
        <x:v>1</x:v>
      </x:c>
      <x:c r="G89" s="40"/>
      <x:c r="H89" s="40"/>
      <x:c r="I89"/>
      <x:c r="J89" s="17" t="b">
        <x:v>1</x:v>
      </x:c>
    </x:row>
    <x:row r="90">
      <x:c r="A90" t="str">
        <x:v>PSV</x:v>
      </x:c>
      <x:c r="B90" t="str">
        <x:v>Principal sensory nucleus of the trigeminal</x:v>
      </x:c>
      <x:c r="C90" t="str">
        <x:v>Hindbrain</x:v>
      </x:c>
      <x:c r="D90" s="17" t="b">
        <x:v>1</x:v>
      </x:c>
      <x:c r="E90" s="40" t="n">
        <x:v>-0.62</x:v>
      </x:c>
      <x:c r="F90" s="40" t="n">
        <x:v>1</x:v>
      </x:c>
      <x:c r="G90" s="40"/>
      <x:c r="H90" s="40"/>
      <x:c r="I90"/>
      <x:c r="J90" s="17" t="b">
        <x:v>1</x:v>
      </x:c>
    </x:row>
    <x:row r="91">
      <x:c r="A91" t="str">
        <x:v>Pa5</x:v>
      </x:c>
      <x:c r="B91" t="str">
        <x:v>Paratrigeminal nucleus</x:v>
      </x:c>
      <x:c r="C91" t="str">
        <x:v>Hindbrain</x:v>
      </x:c>
      <x:c r="D91" s="17" t="b">
        <x:v>0</x:v>
      </x:c>
      <x:c r="E91" s="40"/>
      <x:c r="F91" s="40"/>
      <x:c r="G91" s="40"/>
      <x:c r="H91" s="40"/>
      <x:c r="I91"/>
      <x:c r="J91" s="17" t="b">
        <x:v>0</x:v>
      </x:c>
    </x:row>
    <x:row r="92">
      <x:c r="A92" t="str">
        <x:v>RM</x:v>
      </x:c>
      <x:c r="B92" t="str">
        <x:v>Nucleus raphe magnus</x:v>
      </x:c>
      <x:c r="C92" t="str">
        <x:v>Hindbrain</x:v>
      </x:c>
      <x:c r="D92" s="17" t="b">
        <x:v>0</x:v>
      </x:c>
      <x:c r="E92" s="40"/>
      <x:c r="F92" s="40"/>
      <x:c r="G92" s="40"/>
      <x:c r="H92" s="40"/>
      <x:c r="I92"/>
      <x:c r="J92" s="17" t="b">
        <x:v>0</x:v>
      </x:c>
    </x:row>
    <x:row r="93">
      <x:c r="A93" t="str">
        <x:v>RO</x:v>
      </x:c>
      <x:c r="B93" t="str">
        <x:v>Nucleus raphe obscurus</x:v>
      </x:c>
      <x:c r="C93" t="str">
        <x:v>Hindbrain</x:v>
      </x:c>
      <x:c r="D93" s="17" t="b">
        <x:v>0</x:v>
      </x:c>
      <x:c r="E93" s="40"/>
      <x:c r="F93" s="40"/>
      <x:c r="G93" s="40"/>
      <x:c r="H93" s="40"/>
      <x:c r="I93"/>
      <x:c r="J93" s="17" t="b">
        <x:v>0</x:v>
      </x:c>
    </x:row>
    <x:row r="94">
      <x:c r="A94" t="str">
        <x:v>SOC</x:v>
      </x:c>
      <x:c r="B94" t="str">
        <x:v>Superior olivary complex</x:v>
      </x:c>
      <x:c r="C94" t="str">
        <x:v>Hindbrain</x:v>
      </x:c>
      <x:c r="D94" s="17" t="b">
        <x:v>1</x:v>
      </x:c>
      <x:c r="E94" s="40" t="n">
        <x:v>0.24</x:v>
      </x:c>
      <x:c r="F94" s="40" t="n">
        <x:v>1</x:v>
      </x:c>
      <x:c r="G94" s="40"/>
      <x:c r="H94" s="40"/>
      <x:c r="I94"/>
      <x:c r="J94" s="17" t="b">
        <x:v>1</x:v>
      </x:c>
    </x:row>
    <x:row r="95">
      <x:c r="A95" t="str">
        <x:v>SPIV</x:v>
      </x:c>
      <x:c r="B95" t="str">
        <x:v>Spinal vestibular nucleus</x:v>
      </x:c>
      <x:c r="C95" t="str">
        <x:v>Hindbrain</x:v>
      </x:c>
      <x:c r="D95" s="17" t="b">
        <x:v>1</x:v>
      </x:c>
      <x:c r="E95" s="40" t="n">
        <x:v>-0.55</x:v>
      </x:c>
      <x:c r="F95" s="40" t="n">
        <x:v>1</x:v>
      </x:c>
      <x:c r="G95" s="40" t="n">
        <x:v>36.1702127659574</x:v>
      </x:c>
      <x:c r="H95" s="40" t="n">
        <x:v>0.2466252063145459</x:v>
      </x:c>
      <x:c r="I95" t="n">
        <x:v>1</x:v>
      </x:c>
      <x:c r="J95" s="17" t="b">
        <x:v>1</x:v>
      </x:c>
    </x:row>
    <x:row r="96">
      <x:c r="A96" t="str">
        <x:v>SPVC</x:v>
      </x:c>
      <x:c r="B96" t="str">
        <x:v>Spinal nucleus of the trigeminal caudal part</x:v>
      </x:c>
      <x:c r="C96" t="str">
        <x:v>Hindbrain</x:v>
      </x:c>
      <x:c r="D96" s="17" t="b">
        <x:v>1</x:v>
      </x:c>
      <x:c r="E96" s="40" t="n">
        <x:v>-0.5</x:v>
      </x:c>
      <x:c r="F96" s="40" t="n">
        <x:v>0</x:v>
      </x:c>
      <x:c r="G96" s="40"/>
      <x:c r="H96" s="40"/>
      <x:c r="I96"/>
      <x:c r="J96" s="17" t="b">
        <x:v>1</x:v>
      </x:c>
    </x:row>
    <x:row r="97">
      <x:c r="A97" t="str">
        <x:v>SPVI</x:v>
      </x:c>
      <x:c r="B97" t="str">
        <x:v>Spinal nucleus of the trigeminal interpolar part</x:v>
      </x:c>
      <x:c r="C97" t="str">
        <x:v>Hindbrain</x:v>
      </x:c>
      <x:c r="D97" s="17" t="b">
        <x:v>1</x:v>
      </x:c>
      <x:c r="E97" s="40" t="n">
        <x:v>-0.76</x:v>
      </x:c>
      <x:c r="F97" s="40" t="n">
        <x:v>1</x:v>
      </x:c>
      <x:c r="G97" s="40" t="n">
        <x:v>82.9787234042553</x:v>
      </x:c>
      <x:c r="H97" s="40" t="n">
        <x:v>0.2158974169787443</x:v>
      </x:c>
      <x:c r="I97" t="n">
        <x:v>1</x:v>
      </x:c>
      <x:c r="J97" s="17" t="b">
        <x:v>1</x:v>
      </x:c>
    </x:row>
    <x:row r="98">
      <x:c r="A98" t="str">
        <x:v>SPVO</x:v>
      </x:c>
      <x:c r="B98" t="str">
        <x:v>Spinal nucleus of the trigeminal oral part</x:v>
      </x:c>
      <x:c r="C98" t="str">
        <x:v>Hindbrain</x:v>
      </x:c>
      <x:c r="D98" s="17" t="b">
        <x:v>1</x:v>
      </x:c>
      <x:c r="E98" s="40" t="n">
        <x:v>-0.63</x:v>
      </x:c>
      <x:c r="F98" s="40" t="n">
        <x:v>0</x:v>
      </x:c>
      <x:c r="G98" s="40"/>
      <x:c r="H98" s="40"/>
      <x:c r="I98"/>
      <x:c r="J98" s="17" t="b">
        <x:v>1</x:v>
      </x:c>
    </x:row>
    <x:row r="99">
      <x:c r="A99" t="str">
        <x:v>SUT</x:v>
      </x:c>
      <x:c r="B99" t="str">
        <x:v>Supratrigeminal nucleus</x:v>
      </x:c>
      <x:c r="C99" t="str">
        <x:v>Hindbrain</x:v>
      </x:c>
      <x:c r="D99" s="17" t="b">
        <x:v>1</x:v>
      </x:c>
      <x:c r="E99" s="40" t="n">
        <x:v>-0.26</x:v>
      </x:c>
      <x:c r="F99" s="40" t="n">
        <x:v>1</x:v>
      </x:c>
      <x:c r="G99" s="40"/>
      <x:c r="H99" s="40"/>
      <x:c r="I99"/>
      <x:c r="J99" s="17" t="b">
        <x:v>1</x:v>
      </x:c>
    </x:row>
    <x:row r="100">
      <x:c r="A100" t="str">
        <x:v>SUV</x:v>
      </x:c>
      <x:c r="B100" t="str">
        <x:v>Superior vestibular nucleus</x:v>
      </x:c>
      <x:c r="C100" t="str">
        <x:v>Hindbrain</x:v>
      </x:c>
      <x:c r="D100" s="17" t="b">
        <x:v>1</x:v>
      </x:c>
      <x:c r="E100" s="40" t="n">
        <x:v>-0.26</x:v>
      </x:c>
      <x:c r="F100" s="40" t="n">
        <x:v>1</x:v>
      </x:c>
      <x:c r="G100" s="40"/>
      <x:c r="H100" s="40"/>
      <x:c r="I100"/>
      <x:c r="J100" s="17" t="b">
        <x:v>1</x:v>
      </x:c>
    </x:row>
    <x:row r="101">
      <x:c r="A101" t="str">
        <x:v>TRN</x:v>
      </x:c>
      <x:c r="B101" t="str">
        <x:v>Tegmental reticular nucleus</x:v>
      </x:c>
      <x:c r="C101" t="str">
        <x:v>Hindbrain</x:v>
      </x:c>
      <x:c r="D101" s="17" t="b">
        <x:v>1</x:v>
      </x:c>
      <x:c r="E101" s="40" t="n">
        <x:v>-0.08</x:v>
      </x:c>
      <x:c r="F101" s="40" t="n">
        <x:v>1</x:v>
      </x:c>
      <x:c r="G101" s="40"/>
      <x:c r="H101" s="40"/>
      <x:c r="I101"/>
      <x:c r="J101" s="17" t="b">
        <x:v>1</x:v>
      </x:c>
    </x:row>
    <x:row r="102">
      <x:c r="A102" t="str">
        <x:v>V</x:v>
      </x:c>
      <x:c r="B102" t="str">
        <x:v>Motor nucleus of trigeminal</x:v>
      </x:c>
      <x:c r="C102" t="str">
        <x:v>Hindbrain</x:v>
      </x:c>
      <x:c r="D102" s="17" t="b">
        <x:v>1</x:v>
      </x:c>
      <x:c r="E102" s="40" t="n">
        <x:v>-0.08</x:v>
      </x:c>
      <x:c r="F102" s="40" t="n">
        <x:v>1</x:v>
      </x:c>
      <x:c r="G102" s="40" t="n">
        <x:v>91.4893617021276</x:v>
      </x:c>
      <x:c r="H102" s="40" t="n">
        <x:v>1.3953751749995396</x:v>
      </x:c>
      <x:c r="I102" t="n">
        <x:v>1</x:v>
      </x:c>
      <x:c r="J102" s="17" t="b">
        <x:v>1</x:v>
      </x:c>
    </x:row>
    <x:row r="103">
      <x:c r="A103" t="str">
        <x:v>VCO</x:v>
      </x:c>
      <x:c r="B103" t="str">
        <x:v>Ventral cochlear nucleus</x:v>
      </x:c>
      <x:c r="C103" t="str">
        <x:v>Hindbrain</x:v>
      </x:c>
      <x:c r="D103" s="17" t="b">
        <x:v>1</x:v>
      </x:c>
      <x:c r="E103" s="40" t="n">
        <x:v>-0.4</x:v>
      </x:c>
      <x:c r="F103" s="40" t="n">
        <x:v>1</x:v>
      </x:c>
      <x:c r="G103" s="40" t="n">
        <x:v>68.0851063829787</x:v>
      </x:c>
      <x:c r="H103" s="40" t="n">
        <x:v>0.558958633706585</x:v>
      </x:c>
      <x:c r="I103" t="n">
        <x:v>0</x:v>
      </x:c>
      <x:c r="J103" s="17" t="b">
        <x:v>1</x:v>
      </x:c>
    </x:row>
    <x:row r="104">
      <x:c r="A104" t="str">
        <x:v>VII</x:v>
      </x:c>
      <x:c r="B104" t="str">
        <x:v>Facial motor nucleus</x:v>
      </x:c>
      <x:c r="C104" t="str">
        <x:v>Hindbrain</x:v>
      </x:c>
      <x:c r="D104" s="17" t="b">
        <x:v>1</x:v>
      </x:c>
      <x:c r="E104" s="40" t="n">
        <x:v>-0.31</x:v>
      </x:c>
      <x:c r="F104" s="40" t="n">
        <x:v>1</x:v>
      </x:c>
      <x:c r="G104" s="40"/>
      <x:c r="H104" s="40"/>
      <x:c r="I104"/>
      <x:c r="J104" s="17" t="b">
        <x:v>1</x:v>
      </x:c>
    </x:row>
    <x:row r="105">
      <x:c r="A105" t="str">
        <x:v>XII</x:v>
      </x:c>
      <x:c r="B105" t="str">
        <x:v>Hypoglossal nucleus</x:v>
      </x:c>
      <x:c r="C105" t="str">
        <x:v>Hindbrain</x:v>
      </x:c>
      <x:c r="D105" s="17" t="b">
        <x:v>0</x:v>
      </x:c>
      <x:c r="E105" s="40"/>
      <x:c r="F105" s="40"/>
      <x:c r="G105" s="40"/>
      <x:c r="H105" s="40"/>
      <x:c r="I105"/>
      <x:c r="J105" s="17" t="b">
        <x:v>0</x:v>
      </x:c>
    </x:row>
    <x:row r="106">
      <x:c r="A106" t="str">
        <x:v>x</x:v>
      </x:c>
      <x:c r="B106" t="str">
        <x:v>Nucleus x</x:v>
      </x:c>
      <x:c r="C106" t="str">
        <x:v>Hindbrain</x:v>
      </x:c>
      <x:c r="D106" s="17" t="b">
        <x:v>1</x:v>
      </x:c>
      <x:c r="E106" s="40" t="n">
        <x:v>-0.51</x:v>
      </x:c>
      <x:c r="F106" s="40" t="n">
        <x:v>0</x:v>
      </x:c>
      <x:c r="G106" s="40"/>
      <x:c r="H106" s="40"/>
      <x:c r="I106"/>
      <x:c r="J106" s="17" t="b">
        <x:v>1</x:v>
      </x:c>
    </x:row>
    <x:row r="107">
      <x:c r="A107" t="str">
        <x:v>y</x:v>
      </x:c>
      <x:c r="B107" t="str">
        <x:v>Nucleus y</x:v>
      </x:c>
      <x:c r="C107" t="str">
        <x:v>Hindbrain</x:v>
      </x:c>
      <x:c r="D107" s="17" t="b">
        <x:v>0</x:v>
      </x:c>
      <x:c r="E107" s="40"/>
      <x:c r="F107" s="40"/>
      <x:c r="G107" s="40"/>
      <x:c r="H107" s="40"/>
      <x:c r="I107"/>
      <x:c r="J107" s="17" t="b">
        <x:v>0</x:v>
      </x:c>
    </x:row>
    <x:row r="108">
      <x:c r="A108" t="str">
        <x:v>APr</x:v>
      </x:c>
      <x:c r="B108" t="str">
        <x:v>Area prostriata</x:v>
      </x:c>
      <x:c r="C108" t="str">
        <x:v>Hippocampal formation</x:v>
      </x:c>
      <x:c r="D108" s="17" t="b">
        <x:v>1</x:v>
      </x:c>
      <x:c r="E108" s="40"/>
      <x:c r="F108" s="40"/>
      <x:c r="G108" s="40"/>
      <x:c r="H108" s="40"/>
      <x:c r="I108"/>
      <x:c r="J108" s="17" t="b">
        <x:v>0</x:v>
      </x:c>
    </x:row>
    <x:row r="109">
      <x:c r="A109" t="str">
        <x:v>CA1</x:v>
      </x:c>
      <x:c r="B109" t="str">
        <x:v>Field CA1</x:v>
      </x:c>
      <x:c r="C109" t="str">
        <x:v>Hippocampal formation</x:v>
      </x:c>
      <x:c r="D109" s="17" t="b">
        <x:v>1</x:v>
      </x:c>
      <x:c r="E109" s="40" t="n">
        <x:v>-1.14</x:v>
      </x:c>
      <x:c r="F109" s="40" t="n">
        <x:v>1</x:v>
      </x:c>
      <x:c r="G109" s="40" t="n">
        <x:v>72.3404255319149</x:v>
      </x:c>
      <x:c r="H109" s="40" t="n">
        <x:v>0.084609695227108</x:v>
      </x:c>
      <x:c r="I109" t="n">
        <x:v>1</x:v>
      </x:c>
      <x:c r="J109" s="17" t="b">
        <x:v>1</x:v>
      </x:c>
    </x:row>
    <x:row r="110">
      <x:c r="A110" t="str">
        <x:v>CA2</x:v>
      </x:c>
      <x:c r="B110" t="str">
        <x:v>Field CA2</x:v>
      </x:c>
      <x:c r="C110" t="str">
        <x:v>Hippocampal formation</x:v>
      </x:c>
      <x:c r="D110" s="17" t="b">
        <x:v>1</x:v>
      </x:c>
      <x:c r="E110" s="40"/>
      <x:c r="F110" s="40"/>
      <x:c r="G110" s="40"/>
      <x:c r="H110" s="40"/>
      <x:c r="I110"/>
      <x:c r="J110" s="17" t="b">
        <x:v>0</x:v>
      </x:c>
    </x:row>
    <x:row r="111">
      <x:c r="A111" t="str">
        <x:v>CA3</x:v>
      </x:c>
      <x:c r="B111" t="str">
        <x:v>Field CA3</x:v>
      </x:c>
      <x:c r="C111" t="str">
        <x:v>Hippocampal formation</x:v>
      </x:c>
      <x:c r="D111" s="17" t="b">
        <x:v>1</x:v>
      </x:c>
      <x:c r="E111" s="40" t="n">
        <x:v>-0.76</x:v>
      </x:c>
      <x:c r="F111" s="40" t="n">
        <x:v>1</x:v>
      </x:c>
      <x:c r="G111" s="40" t="n">
        <x:v>70.2127659574468</x:v>
      </x:c>
      <x:c r="H111" s="40" t="n">
        <x:v>0.1406226903476712</x:v>
      </x:c>
      <x:c r="I111" t="n">
        <x:v>1</x:v>
      </x:c>
      <x:c r="J111" s="17" t="b">
        <x:v>1</x:v>
      </x:c>
    </x:row>
    <x:row r="112">
      <x:c r="A112" t="str">
        <x:v>DG</x:v>
      </x:c>
      <x:c r="B112" t="str">
        <x:v>Dentate gyrus</x:v>
      </x:c>
      <x:c r="C112" t="str">
        <x:v>Hippocampal formation</x:v>
      </x:c>
      <x:c r="D112" s="17" t="b">
        <x:v>1</x:v>
      </x:c>
      <x:c r="E112" s="40" t="n">
        <x:v>-1.32</x:v>
      </x:c>
      <x:c r="F112" s="40" t="n">
        <x:v>0</x:v>
      </x:c>
      <x:c r="G112" s="40" t="n">
        <x:v>80.8510638297872</x:v>
      </x:c>
      <x:c r="H112" s="40" t="n">
        <x:v>0.0556603144418496</x:v>
      </x:c>
      <x:c r="I112" t="n">
        <x:v>1</x:v>
      </x:c>
      <x:c r="J112" s="17" t="b">
        <x:v>1</x:v>
      </x:c>
    </x:row>
    <x:row r="113">
      <x:c r="A113" t="str">
        <x:v>ENTl</x:v>
      </x:c>
      <x:c r="B113" t="str">
        <x:v>Entorhinal area lateral part</x:v>
      </x:c>
      <x:c r="C113" t="str">
        <x:v>Hippocampal formation</x:v>
      </x:c>
      <x:c r="D113" s="17" t="b">
        <x:v>1</x:v>
      </x:c>
      <x:c r="E113" s="40" t="n">
        <x:v>-1.17</x:v>
      </x:c>
      <x:c r="F113" s="40" t="n">
        <x:v>1</x:v>
      </x:c>
      <x:c r="G113" s="40" t="n">
        <x:v>63.829787234042506</x:v>
      </x:c>
      <x:c r="H113" s="40" t="n">
        <x:v>0.0676968882491352</x:v>
      </x:c>
      <x:c r="I113" t="n">
        <x:v>0</x:v>
      </x:c>
      <x:c r="J113" s="17" t="b">
        <x:v>1</x:v>
      </x:c>
    </x:row>
    <x:row r="114">
      <x:c r="A114" t="str">
        <x:v>ENTm</x:v>
      </x:c>
      <x:c r="B114" t="str">
        <x:v>Entorhinal area medial part dorsal zone</x:v>
      </x:c>
      <x:c r="C114" t="str">
        <x:v>Hippocampal formation</x:v>
      </x:c>
      <x:c r="D114" s="17" t="b">
        <x:v>1</x:v>
      </x:c>
      <x:c r="E114" s="40" t="n">
        <x:v>-1.02</x:v>
      </x:c>
      <x:c r="F114" s="40" t="n">
        <x:v>0</x:v>
      </x:c>
      <x:c r="G114" s="40" t="n">
        <x:v>14.8936170212765</x:v>
      </x:c>
      <x:c r="H114" s="40" t="n">
        <x:v>0.1049640266696674</x:v>
      </x:c>
      <x:c r="I114" t="n">
        <x:v>1</x:v>
      </x:c>
      <x:c r="J114" s="17" t="b">
        <x:v>1</x:v>
      </x:c>
    </x:row>
    <x:row r="115">
      <x:c r="A115" t="str">
        <x:v>FC</x:v>
      </x:c>
      <x:c r="B115" t="str">
        <x:v>Fasciola cinerea</x:v>
      </x:c>
      <x:c r="C115" t="str">
        <x:v>Hippocampal formation</x:v>
      </x:c>
      <x:c r="D115" s="17" t="b">
        <x:v>1</x:v>
      </x:c>
      <x:c r="E115" s="40"/>
      <x:c r="F115" s="40"/>
      <x:c r="G115" s="40"/>
      <x:c r="H115" s="40"/>
      <x:c r="I115"/>
      <x:c r="J115" s="17" t="b">
        <x:v>0</x:v>
      </x:c>
    </x:row>
    <x:row r="116">
      <x:c r="A116" t="str">
        <x:v>HATA</x:v>
      </x:c>
      <x:c r="B116" t="str">
        <x:v>Hippocampo-amygdalar transition area</x:v>
      </x:c>
      <x:c r="C116" t="str">
        <x:v>Hippocampal formation</x:v>
      </x:c>
      <x:c r="D116" s="17" t="b">
        <x:v>1</x:v>
      </x:c>
      <x:c r="E116" s="40" t="n">
        <x:v>-0.54</x:v>
      </x:c>
      <x:c r="F116" s="40" t="n">
        <x:v>0</x:v>
      </x:c>
      <x:c r="G116" s="40"/>
      <x:c r="H116" s="40"/>
      <x:c r="I116"/>
      <x:c r="J116" s="17" t="b">
        <x:v>1</x:v>
      </x:c>
    </x:row>
    <x:row r="117">
      <x:c r="A117" t="str">
        <x:v>IG</x:v>
      </x:c>
      <x:c r="B117" t="str">
        <x:v>Induseum griseum</x:v>
      </x:c>
      <x:c r="C117" t="str">
        <x:v>Hippocampal formation</x:v>
      </x:c>
      <x:c r="D117" s="17" t="b">
        <x:v>0</x:v>
      </x:c>
      <x:c r="E117" s="40"/>
      <x:c r="F117" s="40"/>
      <x:c r="G117" s="40"/>
      <x:c r="H117" s="40"/>
      <x:c r="I117"/>
      <x:c r="J117" s="17" t="b">
        <x:v>0</x:v>
      </x:c>
    </x:row>
    <x:row r="118">
      <x:c r="A118" t="str">
        <x:v>PAR</x:v>
      </x:c>
      <x:c r="B118" t="str">
        <x:v>Parasubiculum</x:v>
      </x:c>
      <x:c r="C118" t="str">
        <x:v>Hippocampal formation</x:v>
      </x:c>
      <x:c r="D118" s="17" t="b">
        <x:v>1</x:v>
      </x:c>
      <x:c r="E118" s="40" t="n">
        <x:v>-0.39</x:v>
      </x:c>
      <x:c r="F118" s="40" t="n">
        <x:v>1</x:v>
      </x:c>
      <x:c r="G118" s="40" t="n">
        <x:v>63.829787234042506</x:v>
      </x:c>
      <x:c r="H118" s="40" t="n">
        <x:v>0.31131562154808</x:v>
      </x:c>
      <x:c r="I118" t="n">
        <x:v>1</x:v>
      </x:c>
      <x:c r="J118" s="17" t="b">
        <x:v>1</x:v>
      </x:c>
    </x:row>
    <x:row r="119">
      <x:c r="A119" t="str">
        <x:v>POST</x:v>
      </x:c>
      <x:c r="B119" t="str">
        <x:v>Postsubiculum</x:v>
      </x:c>
      <x:c r="C119" t="str">
        <x:v>Hippocampal formation</x:v>
      </x:c>
      <x:c r="D119" s="17" t="b">
        <x:v>1</x:v>
      </x:c>
      <x:c r="E119" s="40" t="n">
        <x:v>-0.7</x:v>
      </x:c>
      <x:c r="F119" s="40" t="n">
        <x:v>1</x:v>
      </x:c>
      <x:c r="G119" s="40" t="n">
        <x:v>78.7234042553191</x:v>
      </x:c>
      <x:c r="H119" s="40" t="n">
        <x:v>0.2963343531704034</x:v>
      </x:c>
      <x:c r="I119" t="n">
        <x:v>1</x:v>
      </x:c>
      <x:c r="J119" s="17" t="b">
        <x:v>1</x:v>
      </x:c>
    </x:row>
    <x:row r="120">
      <x:c r="A120" t="str">
        <x:v>PRE</x:v>
      </x:c>
      <x:c r="B120" t="str">
        <x:v>Presubiculum</x:v>
      </x:c>
      <x:c r="C120" t="str">
        <x:v>Hippocampal formation</x:v>
      </x:c>
      <x:c r="D120" s="17" t="b">
        <x:v>1</x:v>
      </x:c>
      <x:c r="E120" s="40" t="n">
        <x:v>-0.51</x:v>
      </x:c>
      <x:c r="F120" s="40" t="n">
        <x:v>1</x:v>
      </x:c>
      <x:c r="G120" s="40"/>
      <x:c r="H120" s="40" t="n">
        <x:v>0.1923425186756651</x:v>
      </x:c>
      <x:c r="I120" t="n">
        <x:v>1</x:v>
      </x:c>
      <x:c r="J120" s="17" t="b">
        <x:v>1</x:v>
      </x:c>
    </x:row>
    <x:row r="121">
      <x:c r="A121" t="str">
        <x:v>ProS</x:v>
      </x:c>
      <x:c r="B121" t="str">
        <x:v>Prosubiculum</x:v>
      </x:c>
      <x:c r="C121" t="str">
        <x:v>Hippocampal formation</x:v>
      </x:c>
      <x:c r="D121" s="17" t="b">
        <x:v>1</x:v>
      </x:c>
      <x:c r="E121" s="40" t="n">
        <x:v>-0.69</x:v>
      </x:c>
      <x:c r="F121" s="40" t="n">
        <x:v>1</x:v>
      </x:c>
      <x:c r="G121" s="40" t="n">
        <x:v>23.404255319148902</x:v>
      </x:c>
      <x:c r="H121" s="40" t="n">
        <x:v>0.0791486094186839</x:v>
      </x:c>
      <x:c r="I121" t="n">
        <x:v>1</x:v>
      </x:c>
      <x:c r="J121" s="17" t="b">
        <x:v>1</x:v>
      </x:c>
    </x:row>
    <x:row r="122">
      <x:c r="A122" t="str">
        <x:v>SUB</x:v>
      </x:c>
      <x:c r="B122" t="str">
        <x:v>Subiculum</x:v>
      </x:c>
      <x:c r="C122" t="str">
        <x:v>Hippocampal formation</x:v>
      </x:c>
      <x:c r="D122" s="17" t="b">
        <x:v>1</x:v>
      </x:c>
      <x:c r="E122" s="40" t="n">
        <x:v>-1.11</x:v>
      </x:c>
      <x:c r="F122" s="40" t="n">
        <x:v>0</x:v>
      </x:c>
      <x:c r="G122" s="40" t="n">
        <x:v>63.829787234042506</x:v>
      </x:c>
      <x:c r="H122" s="40" t="n">
        <x:v>0.0677290944197482</x:v>
      </x:c>
      <x:c r="I122" t="n">
        <x:v>1</x:v>
      </x:c>
      <x:c r="J122" s="17" t="b">
        <x:v>1</x:v>
      </x:c>
    </x:row>
    <x:row r="123">
      <x:c r="A123" t="str">
        <x:v>ADP</x:v>
      </x:c>
      <x:c r="B123" t="str">
        <x:v>Anterodorsal preoptic nucleus</x:v>
      </x:c>
      <x:c r="C123" t="str">
        <x:v>Hypothalamus</x:v>
      </x:c>
      <x:c r="D123" s="17" t="b">
        <x:v>0</x:v>
      </x:c>
      <x:c r="E123" s="40"/>
      <x:c r="F123" s="40"/>
      <x:c r="G123" s="40"/>
      <x:c r="H123" s="40"/>
      <x:c r="I123"/>
      <x:c r="J123" s="17" t="b">
        <x:v>0</x:v>
      </x:c>
    </x:row>
    <x:row r="124">
      <x:c r="A124" t="str">
        <x:v>AHN</x:v>
      </x:c>
      <x:c r="B124" t="str">
        <x:v>Anterior hypothalamic nucleus</x:v>
      </x:c>
      <x:c r="C124" t="str">
        <x:v>Hypothalamus</x:v>
      </x:c>
      <x:c r="D124" s="17" t="b">
        <x:v>0</x:v>
      </x:c>
      <x:c r="E124" s="40"/>
      <x:c r="F124" s="40"/>
      <x:c r="G124" s="40"/>
      <x:c r="H124" s="40"/>
      <x:c r="I124"/>
      <x:c r="J124" s="17" t="b">
        <x:v>0</x:v>
      </x:c>
    </x:row>
    <x:row r="125">
      <x:c r="A125" t="str">
        <x:v>AVP</x:v>
      </x:c>
      <x:c r="B125" t="str">
        <x:v>Anteroventral preoptic nucleus</x:v>
      </x:c>
      <x:c r="C125" t="str">
        <x:v>Hypothalamus</x:v>
      </x:c>
      <x:c r="D125" s="17" t="b">
        <x:v>0</x:v>
      </x:c>
      <x:c r="E125" s="40"/>
      <x:c r="F125" s="40"/>
      <x:c r="G125" s="40"/>
      <x:c r="H125" s="40"/>
      <x:c r="I125"/>
      <x:c r="J125" s="17" t="b">
        <x:v>0</x:v>
      </x:c>
    </x:row>
    <x:row r="126">
      <x:c r="A126" t="str">
        <x:v>DMH</x:v>
      </x:c>
      <x:c r="B126" t="str">
        <x:v>Dorsomedial nucleus of the hypothalamus</x:v>
      </x:c>
      <x:c r="C126" t="str">
        <x:v>Hypothalamus</x:v>
      </x:c>
      <x:c r="D126" s="17" t="b">
        <x:v>0</x:v>
      </x:c>
      <x:c r="E126" s="40"/>
      <x:c r="F126" s="40"/>
      <x:c r="G126" s="40"/>
      <x:c r="H126" s="40"/>
      <x:c r="I126"/>
      <x:c r="J126" s="17" t="b">
        <x:v>0</x:v>
      </x:c>
    </x:row>
    <x:row r="127">
      <x:c r="A127" t="str">
        <x:v>LHA</x:v>
      </x:c>
      <x:c r="B127" t="str">
        <x:v>Lateral hypothalamic area</x:v>
      </x:c>
      <x:c r="C127" t="str">
        <x:v>Hypothalamus</x:v>
      </x:c>
      <x:c r="D127" s="17" t="b">
        <x:v>1</x:v>
      </x:c>
      <x:c r="E127" s="40" t="n">
        <x:v>-0.81</x:v>
      </x:c>
      <x:c r="F127" s="40" t="n">
        <x:v>0</x:v>
      </x:c>
      <x:c r="G127" s="40" t="n">
        <x:v>95.7446808510638</x:v>
      </x:c>
      <x:c r="H127" s="40" t="n">
        <x:v>0.1995777098963884</x:v>
      </x:c>
      <x:c r="I127" t="n">
        <x:v>0</x:v>
      </x:c>
      <x:c r="J127" s="17" t="b">
        <x:v>1</x:v>
      </x:c>
    </x:row>
    <x:row r="128">
      <x:c r="A128" t="str">
        <x:v>LM</x:v>
      </x:c>
      <x:c r="B128" t="str">
        <x:v>Lateral mammillary nucleus</x:v>
      </x:c>
      <x:c r="C128" t="str">
        <x:v>Hypothalamus</x:v>
      </x:c>
      <x:c r="D128" s="17" t="b">
        <x:v>0</x:v>
      </x:c>
      <x:c r="E128" s="40"/>
      <x:c r="F128" s="40"/>
      <x:c r="G128" s="40"/>
      <x:c r="H128" s="40"/>
      <x:c r="I128"/>
      <x:c r="J128" s="17" t="b">
        <x:v>0</x:v>
      </x:c>
    </x:row>
    <x:row r="129">
      <x:c r="A129" t="str">
        <x:v>LPO</x:v>
      </x:c>
      <x:c r="B129" t="str">
        <x:v>Lateral preoptic area</x:v>
      </x:c>
      <x:c r="C129" t="str">
        <x:v>Hypothalamus</x:v>
      </x:c>
      <x:c r="D129" s="17" t="b">
        <x:v>1</x:v>
      </x:c>
      <x:c r="E129" s="40" t="n">
        <x:v>-0.73</x:v>
      </x:c>
      <x:c r="F129" s="40" t="n">
        <x:v>0</x:v>
      </x:c>
      <x:c r="G129" s="40"/>
      <x:c r="H129" s="40"/>
      <x:c r="I129"/>
      <x:c r="J129" s="17" t="b">
        <x:v>1</x:v>
      </x:c>
    </x:row>
    <x:row r="130">
      <x:c r="A130" t="str">
        <x:v>MEPO</x:v>
      </x:c>
      <x:c r="B130" t="str">
        <x:v>Median preoptic nucleus</x:v>
      </x:c>
      <x:c r="C130" t="str">
        <x:v>Hypothalamus</x:v>
      </x:c>
      <x:c r="D130" s="17" t="b">
        <x:v>0</x:v>
      </x:c>
      <x:c r="E130" s="40"/>
      <x:c r="F130" s="40"/>
      <x:c r="G130" s="40"/>
      <x:c r="H130" s="40"/>
      <x:c r="I130"/>
      <x:c r="J130" s="17" t="b">
        <x:v>0</x:v>
      </x:c>
    </x:row>
    <x:row r="131">
      <x:c r="A131" t="str">
        <x:v>MM</x:v>
      </x:c>
      <x:c r="B131" t="str">
        <x:v>Medial mammillary nucleus</x:v>
      </x:c>
      <x:c r="C131" t="str">
        <x:v>Hypothalamus</x:v>
      </x:c>
      <x:c r="D131" s="17" t="b">
        <x:v>0</x:v>
      </x:c>
      <x:c r="E131" s="40"/>
      <x:c r="F131" s="40"/>
      <x:c r="G131" s="40"/>
      <x:c r="H131" s="40"/>
      <x:c r="I131"/>
      <x:c r="J131" s="17" t="b">
        <x:v>0</x:v>
      </x:c>
    </x:row>
    <x:row r="132">
      <x:c r="A132" t="str">
        <x:v>MPN</x:v>
      </x:c>
      <x:c r="B132" t="str">
        <x:v>Medial preoptic nucleus</x:v>
      </x:c>
      <x:c r="C132" t="str">
        <x:v>Hypothalamus</x:v>
      </x:c>
      <x:c r="D132" s="17" t="b">
        <x:v>0</x:v>
      </x:c>
      <x:c r="E132" s="40"/>
      <x:c r="F132" s="40"/>
      <x:c r="G132" s="40"/>
      <x:c r="H132" s="40"/>
      <x:c r="I132"/>
      <x:c r="J132" s="17" t="b">
        <x:v>0</x:v>
      </x:c>
    </x:row>
    <x:row r="133">
      <x:c r="A133" t="str">
        <x:v>MPO</x:v>
      </x:c>
      <x:c r="B133" t="str">
        <x:v>Medial preoptic area</x:v>
      </x:c>
      <x:c r="C133" t="str">
        <x:v>Hypothalamus</x:v>
      </x:c>
      <x:c r="D133" s="17" t="b">
        <x:v>1</x:v>
      </x:c>
      <x:c r="E133" s="40" t="n">
        <x:v>-0.63</x:v>
      </x:c>
      <x:c r="F133" s="40" t="n">
        <x:v>0</x:v>
      </x:c>
      <x:c r="G133" s="40" t="n">
        <x:v>17.021276595744602</x:v>
      </x:c>
      <x:c r="H133" s="40" t="n">
        <x:v>0.2722776540714716</x:v>
      </x:c>
      <x:c r="I133" t="n">
        <x:v>0</x:v>
      </x:c>
      <x:c r="J133" s="17" t="b">
        <x:v>1</x:v>
      </x:c>
    </x:row>
    <x:row r="134">
      <x:c r="A134" t="str">
        <x:v>PH</x:v>
      </x:c>
      <x:c r="B134" t="str">
        <x:v>Posterior hypothalamic nucleus</x:v>
      </x:c>
      <x:c r="C134" t="str">
        <x:v>Hypothalamus</x:v>
      </x:c>
      <x:c r="D134" s="17" t="b">
        <x:v>1</x:v>
      </x:c>
      <x:c r="E134" s="40"/>
      <x:c r="F134" s="40"/>
      <x:c r="G134" s="40"/>
      <x:c r="H134" s="40"/>
      <x:c r="I134"/>
      <x:c r="J134" s="17" t="b">
        <x:v>0</x:v>
      </x:c>
    </x:row>
    <x:row r="135">
      <x:c r="A135" t="str">
        <x:v>PMd</x:v>
      </x:c>
      <x:c r="B135" t="str">
        <x:v>Dorsal premammillary nucleus</x:v>
      </x:c>
      <x:c r="C135" t="str">
        <x:v>Hypothalamus</x:v>
      </x:c>
      <x:c r="D135" s="17" t="b">
        <x:v>0</x:v>
      </x:c>
      <x:c r="E135" s="40"/>
      <x:c r="F135" s="40"/>
      <x:c r="G135" s="40"/>
      <x:c r="H135" s="40"/>
      <x:c r="I135"/>
      <x:c r="J135" s="17" t="b">
        <x:v>0</x:v>
      </x:c>
    </x:row>
    <x:row r="136">
      <x:c r="A136" t="str">
        <x:v>PMv</x:v>
      </x:c>
      <x:c r="B136" t="str">
        <x:v>Ventral premammillary nucleus</x:v>
      </x:c>
      <x:c r="C136" t="str">
        <x:v>Hypothalamus</x:v>
      </x:c>
      <x:c r="D136" s="17" t="b">
        <x:v>0</x:v>
      </x:c>
      <x:c r="E136" s="40"/>
      <x:c r="F136" s="40"/>
      <x:c r="G136" s="40"/>
      <x:c r="H136" s="40"/>
      <x:c r="I136"/>
      <x:c r="J136" s="17" t="b">
        <x:v>0</x:v>
      </x:c>
    </x:row>
    <x:row r="137">
      <x:c r="A137" t="str">
        <x:v>PS</x:v>
      </x:c>
      <x:c r="B137" t="str">
        <x:v>Parastrial nucleus</x:v>
      </x:c>
      <x:c r="C137" t="str">
        <x:v>Hypothalamus</x:v>
      </x:c>
      <x:c r="D137" s="17" t="b">
        <x:v>1</x:v>
      </x:c>
      <x:c r="E137" s="40" t="n">
        <x:v>-0.59</x:v>
      </x:c>
      <x:c r="F137" s="40" t="n">
        <x:v>0</x:v>
      </x:c>
      <x:c r="G137" s="40"/>
      <x:c r="H137" s="40"/>
      <x:c r="I137"/>
      <x:c r="J137" s="17" t="b">
        <x:v>1</x:v>
      </x:c>
    </x:row>
    <x:row r="138">
      <x:c r="A138" t="str">
        <x:v>PSTN</x:v>
      </x:c>
      <x:c r="B138" t="str">
        <x:v>Parasubthalamic nucleus</x:v>
      </x:c>
      <x:c r="C138" t="str">
        <x:v>Hypothalamus</x:v>
      </x:c>
      <x:c r="D138" s="17" t="b">
        <x:v>0</x:v>
      </x:c>
      <x:c r="E138" s="40"/>
      <x:c r="F138" s="40"/>
      <x:c r="G138" s="40"/>
      <x:c r="H138" s="40"/>
      <x:c r="I138"/>
      <x:c r="J138" s="17" t="b">
        <x:v>0</x:v>
      </x:c>
    </x:row>
    <x:row r="139">
      <x:c r="A139" t="str">
        <x:v>PVH</x:v>
      </x:c>
      <x:c r="B139" t="str">
        <x:v>Paraventricular hypothalamic nucleus</x:v>
      </x:c>
      <x:c r="C139" t="str">
        <x:v>Hypothalamus</x:v>
      </x:c>
      <x:c r="D139" s="17" t="b">
        <x:v>0</x:v>
      </x:c>
      <x:c r="E139" s="40"/>
      <x:c r="F139" s="40"/>
      <x:c r="G139" s="40"/>
      <x:c r="H139" s="40"/>
      <x:c r="I139"/>
      <x:c r="J139" s="17" t="b">
        <x:v>0</x:v>
      </x:c>
    </x:row>
    <x:row r="140">
      <x:c r="A140" t="str">
        <x:v>PVHd</x:v>
      </x:c>
      <x:c r="B140" t="str">
        <x:v>Paraventricular hypothalamic nucleus descending division</x:v>
      </x:c>
      <x:c r="C140" t="str">
        <x:v>Hypothalamus</x:v>
      </x:c>
      <x:c r="D140" s="17" t="b">
        <x:v>0</x:v>
      </x:c>
      <x:c r="E140" s="40"/>
      <x:c r="F140" s="40"/>
      <x:c r="G140" s="40"/>
      <x:c r="H140" s="40"/>
      <x:c r="I140"/>
      <x:c r="J140" s="17" t="b">
        <x:v>0</x:v>
      </x:c>
    </x:row>
    <x:row r="141">
      <x:c r="A141" t="str">
        <x:v>PVp</x:v>
      </x:c>
      <x:c r="B141" t="str">
        <x:v>Periventricular hypothalamic nucleus posterior part</x:v>
      </x:c>
      <x:c r="C141" t="str">
        <x:v>Hypothalamus</x:v>
      </x:c>
      <x:c r="D141" s="17" t="b">
        <x:v>0</x:v>
      </x:c>
      <x:c r="E141" s="40"/>
      <x:c r="F141" s="40"/>
      <x:c r="G141" s="40"/>
      <x:c r="H141" s="40"/>
      <x:c r="I141"/>
      <x:c r="J141" s="17" t="b">
        <x:v>0</x:v>
      </x:c>
    </x:row>
    <x:row r="142">
      <x:c r="A142" t="str">
        <x:v>PeF</x:v>
      </x:c>
      <x:c r="B142" t="str">
        <x:v>Perifornical nucleus</x:v>
      </x:c>
      <x:c r="C142" t="str">
        <x:v>Hypothalamus</x:v>
      </x:c>
      <x:c r="D142" s="17" t="b">
        <x:v>1</x:v>
      </x:c>
      <x:c r="E142" s="40" t="n">
        <x:v>-0.28</x:v>
      </x:c>
      <x:c r="F142" s="40" t="n">
        <x:v>1</x:v>
      </x:c>
      <x:c r="G142" s="40" t="n">
        <x:v>63.829787234042506</x:v>
      </x:c>
      <x:c r="H142" s="40" t="n">
        <x:v>0.551159254066864</x:v>
      </x:c>
      <x:c r="I142" t="n">
        <x:v>1</x:v>
      </x:c>
      <x:c r="J142" s="17" t="b">
        <x:v>1</x:v>
      </x:c>
    </x:row>
    <x:row r="143">
      <x:c r="A143" t="str">
        <x:v>SFO</x:v>
      </x:c>
      <x:c r="B143" t="str">
        <x:v>Subfornical organ</x:v>
      </x:c>
      <x:c r="C143" t="str">
        <x:v>Hypothalamus</x:v>
      </x:c>
      <x:c r="D143" s="17" t="b">
        <x:v>0</x:v>
      </x:c>
      <x:c r="E143" s="40"/>
      <x:c r="F143" s="40"/>
      <x:c r="G143" s="40"/>
      <x:c r="H143" s="40"/>
      <x:c r="I143"/>
      <x:c r="J143" s="17" t="b">
        <x:v>0</x:v>
      </x:c>
    </x:row>
    <x:row r="144">
      <x:c r="A144" t="str">
        <x:v>STN</x:v>
      </x:c>
      <x:c r="B144" t="str">
        <x:v>Subthalamic nucleus</x:v>
      </x:c>
      <x:c r="C144" t="str">
        <x:v>Hypothalamus</x:v>
      </x:c>
      <x:c r="D144" s="17" t="b">
        <x:v>0</x:v>
      </x:c>
      <x:c r="E144" s="40"/>
      <x:c r="F144" s="40"/>
      <x:c r="G144" s="40"/>
      <x:c r="H144" s="40"/>
      <x:c r="I144"/>
      <x:c r="J144" s="17" t="b">
        <x:v>0</x:v>
      </x:c>
    </x:row>
    <x:row r="145">
      <x:c r="A145" t="str">
        <x:v>SUM</x:v>
      </x:c>
      <x:c r="B145" t="str">
        <x:v>Supramammillary nucleus</x:v>
      </x:c>
      <x:c r="C145" t="str">
        <x:v>Hypothalamus</x:v>
      </x:c>
      <x:c r="D145" s="17" t="b">
        <x:v>0</x:v>
      </x:c>
      <x:c r="E145" s="40"/>
      <x:c r="F145" s="40"/>
      <x:c r="G145" s="40"/>
      <x:c r="H145" s="40"/>
      <x:c r="I145"/>
      <x:c r="J145" s="17" t="b">
        <x:v>0</x:v>
      </x:c>
    </x:row>
    <x:row r="146">
      <x:c r="A146" t="str">
        <x:v>TU</x:v>
      </x:c>
      <x:c r="B146" t="str">
        <x:v>Tuberal nucleus</x:v>
      </x:c>
      <x:c r="C146" t="str">
        <x:v>Hypothalamus</x:v>
      </x:c>
      <x:c r="D146" s="17" t="b">
        <x:v>0</x:v>
      </x:c>
      <x:c r="E146" s="40"/>
      <x:c r="F146" s="40"/>
      <x:c r="G146" s="40"/>
      <x:c r="H146" s="40"/>
      <x:c r="I146"/>
      <x:c r="J146" s="17" t="b">
        <x:v>0</x:v>
      </x:c>
    </x:row>
    <x:row r="147">
      <x:c r="A147" t="str">
        <x:v>VLPO</x:v>
      </x:c>
      <x:c r="B147" t="str">
        <x:v>Ventrolateral preoptic nucleus</x:v>
      </x:c>
      <x:c r="C147" t="str">
        <x:v>Hypothalamus</x:v>
      </x:c>
      <x:c r="D147" s="17" t="b">
        <x:v>0</x:v>
      </x:c>
      <x:c r="E147" s="40"/>
      <x:c r="F147" s="40"/>
      <x:c r="G147" s="40"/>
      <x:c r="H147" s="40"/>
      <x:c r="I147"/>
      <x:c r="J147" s="17" t="b">
        <x:v>0</x:v>
      </x:c>
    </x:row>
    <x:row r="148">
      <x:c r="A148" t="str">
        <x:v>VMH</x:v>
      </x:c>
      <x:c r="B148" t="str">
        <x:v>Ventromedial hypothalamic nucleus</x:v>
      </x:c>
      <x:c r="C148" t="str">
        <x:v>Hypothalamus</x:v>
      </x:c>
      <x:c r="D148" s="17" t="b">
        <x:v>0</x:v>
      </x:c>
      <x:c r="E148" s="40"/>
      <x:c r="F148" s="40"/>
      <x:c r="G148" s="40"/>
      <x:c r="H148" s="40"/>
      <x:c r="I148"/>
      <x:c r="J148" s="17" t="b">
        <x:v>0</x:v>
      </x:c>
    </x:row>
    <x:row r="149">
      <x:c r="A149" t="str">
        <x:v>ZI</x:v>
      </x:c>
      <x:c r="B149" t="str">
        <x:v>Zona incerta</x:v>
      </x:c>
      <x:c r="C149" t="str">
        <x:v>Hypothalamus</x:v>
      </x:c>
      <x:c r="D149" s="17" t="b">
        <x:v>1</x:v>
      </x:c>
      <x:c r="E149" s="40" t="n">
        <x:v>-0.45</x:v>
      </x:c>
      <x:c r="F149" s="40" t="n">
        <x:v>1</x:v>
      </x:c>
      <x:c r="G149" s="40" t="n">
        <x:v>53.191489361702104</x:v>
      </x:c>
      <x:c r="H149" s="40" t="n">
        <x:v>0.2883377782572836</x:v>
      </x:c>
      <x:c r="I149" t="n">
        <x:v>1</x:v>
      </x:c>
      <x:c r="J149" s="17" t="b">
        <x:v>1</x:v>
      </x:c>
    </x:row>
    <x:row r="150">
      <x:c r="A150" t="str">
        <x:v>ACAd</x:v>
      </x:c>
      <x:c r="B150" t="str">
        <x:v>Anterior cingulate area dorsal part</x:v>
      </x:c>
      <x:c r="C150" t="str">
        <x:v>Isocortex</x:v>
      </x:c>
      <x:c r="D150" s="17" t="b">
        <x:v>1</x:v>
      </x:c>
      <x:c r="E150" s="40" t="n">
        <x:v>-0.66</x:v>
      </x:c>
      <x:c r="F150" s="40" t="n">
        <x:v>1</x:v>
      </x:c>
      <x:c r="G150" s="40" t="n">
        <x:v>82.9787234042553</x:v>
      </x:c>
      <x:c r="H150" s="40" t="n">
        <x:v>0.2291598565028229</x:v>
      </x:c>
      <x:c r="I150" t="n">
        <x:v>1</x:v>
      </x:c>
      <x:c r="J150" s="17" t="b">
        <x:v>1</x:v>
      </x:c>
    </x:row>
    <x:row r="151">
      <x:c r="A151" t="str">
        <x:v>ACAv</x:v>
      </x:c>
      <x:c r="B151" t="str">
        <x:v>Anterior cingulate area ventral part</x:v>
      </x:c>
      <x:c r="C151" t="str">
        <x:v>Isocortex</x:v>
      </x:c>
      <x:c r="D151" s="17" t="b">
        <x:v>1</x:v>
      </x:c>
      <x:c r="E151" s="40" t="n">
        <x:v>-1.18</x:v>
      </x:c>
      <x:c r="F151" s="40" t="n">
        <x:v>0</x:v>
      </x:c>
      <x:c r="G151" s="40" t="n">
        <x:v>38.2978723404255</x:v>
      </x:c>
      <x:c r="H151" s="40" t="n">
        <x:v>0.1043357127867922</x:v>
      </x:c>
      <x:c r="I151" t="n">
        <x:v>0</x:v>
      </x:c>
      <x:c r="J151" s="17" t="b">
        <x:v>1</x:v>
      </x:c>
    </x:row>
    <x:row r="152">
      <x:c r="A152" t="str">
        <x:v>AId</x:v>
      </x:c>
      <x:c r="B152" t="str">
        <x:v>Agranular insular area dorsal part</x:v>
      </x:c>
      <x:c r="C152" t="str">
        <x:v>Isocortex</x:v>
      </x:c>
      <x:c r="D152" s="17" t="b">
        <x:v>1</x:v>
      </x:c>
      <x:c r="E152" s="40" t="n">
        <x:v>-0.85</x:v>
      </x:c>
      <x:c r="F152" s="40" t="n">
        <x:v>0</x:v>
      </x:c>
      <x:c r="G152" s="40" t="n">
        <x:v>68.0851063829787</x:v>
      </x:c>
      <x:c r="H152" s="40" t="n">
        <x:v>0.1286971046369472</x:v>
      </x:c>
      <x:c r="I152" t="n">
        <x:v>0</x:v>
      </x:c>
      <x:c r="J152" s="17" t="b">
        <x:v>1</x:v>
      </x:c>
    </x:row>
    <x:row r="153">
      <x:c r="A153" t="str">
        <x:v>AIp</x:v>
      </x:c>
      <x:c r="B153" t="str">
        <x:v>Agranular insular area posterior part</x:v>
      </x:c>
      <x:c r="C153" t="str">
        <x:v>Isocortex</x:v>
      </x:c>
      <x:c r="D153" s="17" t="b">
        <x:v>1</x:v>
      </x:c>
      <x:c r="E153" s="40" t="n">
        <x:v>-0.92</x:v>
      </x:c>
      <x:c r="F153" s="40" t="n">
        <x:v>0</x:v>
      </x:c>
      <x:c r="G153" s="40" t="n">
        <x:v>29.7872340425531</x:v>
      </x:c>
      <x:c r="H153" s="40" t="n">
        <x:v>0.0792707634239482</x:v>
      </x:c>
      <x:c r="I153" t="n">
        <x:v>1</x:v>
      </x:c>
      <x:c r="J153" s="17" t="b">
        <x:v>1</x:v>
      </x:c>
    </x:row>
    <x:row r="154">
      <x:c r="A154" t="str">
        <x:v>AIv</x:v>
      </x:c>
      <x:c r="B154" t="str">
        <x:v>Agranular insular area ventral part</x:v>
      </x:c>
      <x:c r="C154" t="str">
        <x:v>Isocortex</x:v>
      </x:c>
      <x:c r="D154" s="17" t="b">
        <x:v>1</x:v>
      </x:c>
      <x:c r="E154" s="40" t="n">
        <x:v>-0.95</x:v>
      </x:c>
      <x:c r="F154" s="40" t="n">
        <x:v>1</x:v>
      </x:c>
      <x:c r="G154" s="40" t="n">
        <x:v>0</x:v>
      </x:c>
      <x:c r="H154" s="40" t="n">
        <x:v>0.0800541694275563</x:v>
      </x:c>
      <x:c r="I154" t="n">
        <x:v>0</x:v>
      </x:c>
      <x:c r="J154" s="17" t="b">
        <x:v>1</x:v>
      </x:c>
    </x:row>
    <x:row r="155">
      <x:c r="A155" t="str">
        <x:v>AUDd</x:v>
      </x:c>
      <x:c r="B155" t="str">
        <x:v>Dorsal auditory area</x:v>
      </x:c>
      <x:c r="C155" t="str">
        <x:v>Isocortex</x:v>
      </x:c>
      <x:c r="D155" s="17" t="b">
        <x:v>1</x:v>
      </x:c>
      <x:c r="E155" s="40" t="n">
        <x:v>-0.57</x:v>
      </x:c>
      <x:c r="F155" s="40" t="n">
        <x:v>1</x:v>
      </x:c>
      <x:c r="G155" s="40"/>
      <x:c r="H155" s="40" t="n">
        <x:v>0.0683368847644606</x:v>
      </x:c>
      <x:c r="I155" t="n">
        <x:v>1</x:v>
      </x:c>
      <x:c r="J155" s="17" t="b">
        <x:v>1</x:v>
      </x:c>
    </x:row>
    <x:row r="156">
      <x:c r="A156" t="str">
        <x:v>AUDp</x:v>
      </x:c>
      <x:c r="B156" t="str">
        <x:v>Primary auditory area</x:v>
      </x:c>
      <x:c r="C156" t="str">
        <x:v>Isocortex</x:v>
      </x:c>
      <x:c r="D156" s="17" t="b">
        <x:v>1</x:v>
      </x:c>
      <x:c r="E156" s="40" t="n">
        <x:v>-0.96</x:v>
      </x:c>
      <x:c r="F156" s="40" t="n">
        <x:v>0</x:v>
      </x:c>
      <x:c r="G156" s="40" t="n">
        <x:v>12.7659574468085</x:v>
      </x:c>
      <x:c r="H156" s="40" t="n">
        <x:v>0.1239918249826265</x:v>
      </x:c>
      <x:c r="I156" t="n">
        <x:v>0</x:v>
      </x:c>
      <x:c r="J156" s="17" t="b">
        <x:v>1</x:v>
      </x:c>
    </x:row>
    <x:row r="157">
      <x:c r="A157" t="str">
        <x:v>AUDpo</x:v>
      </x:c>
      <x:c r="B157" t="str">
        <x:v>Posterior auditory area</x:v>
      </x:c>
      <x:c r="C157" t="str">
        <x:v>Isocortex</x:v>
      </x:c>
      <x:c r="D157" s="17" t="b">
        <x:v>1</x:v>
      </x:c>
      <x:c r="E157" s="40" t="n">
        <x:v>-0.8</x:v>
      </x:c>
      <x:c r="F157" s="40" t="n">
        <x:v>0</x:v>
      </x:c>
      <x:c r="G157" s="40" t="n">
        <x:v>78.7234042553191</x:v>
      </x:c>
      <x:c r="H157" s="40" t="n">
        <x:v>0.224817519142135</x:v>
      </x:c>
      <x:c r="I157" t="n">
        <x:v>0</x:v>
      </x:c>
      <x:c r="J157" s="17" t="b">
        <x:v>1</x:v>
      </x:c>
    </x:row>
    <x:row r="158">
      <x:c r="A158" t="str">
        <x:v>AUDv</x:v>
      </x:c>
      <x:c r="B158" t="str">
        <x:v>Ventral auditory area</x:v>
      </x:c>
      <x:c r="C158" t="str">
        <x:v>Isocortex</x:v>
      </x:c>
      <x:c r="D158" s="17" t="b">
        <x:v>1</x:v>
      </x:c>
      <x:c r="E158" s="40" t="n">
        <x:v>-0.83</x:v>
      </x:c>
      <x:c r="F158" s="40" t="n">
        <x:v>1</x:v>
      </x:c>
      <x:c r="G158" s="40" t="n">
        <x:v>91.4893617021276</x:v>
      </x:c>
      <x:c r="H158" s="40" t="n">
        <x:v>0.1571520781147521</x:v>
      </x:c>
      <x:c r="I158" t="n">
        <x:v>1</x:v>
      </x:c>
      <x:c r="J158" s="17" t="b">
        <x:v>1</x:v>
      </x:c>
    </x:row>
    <x:row r="159">
      <x:c r="A159" t="str">
        <x:v>ECT</x:v>
      </x:c>
      <x:c r="B159" t="str">
        <x:v>Ectorhinal area</x:v>
      </x:c>
      <x:c r="C159" t="str">
        <x:v>Isocortex</x:v>
      </x:c>
      <x:c r="D159" s="17" t="b">
        <x:v>1</x:v>
      </x:c>
      <x:c r="E159" s="40" t="n">
        <x:v>-0.96</x:v>
      </x:c>
      <x:c r="F159" s="40" t="n">
        <x:v>0</x:v>
      </x:c>
      <x:c r="G159" s="40" t="n">
        <x:v>36.1702127659574</x:v>
      </x:c>
      <x:c r="H159" s="40" t="n">
        <x:v>0.0741273636032703</x:v>
      </x:c>
      <x:c r="I159" t="n">
        <x:v>0</x:v>
      </x:c>
      <x:c r="J159" s="17" t="b">
        <x:v>1</x:v>
      </x:c>
    </x:row>
    <x:row r="160">
      <x:c r="A160" t="str">
        <x:v>FRP</x:v>
      </x:c>
      <x:c r="B160" t="str">
        <x:v>Frontal pole cerebral cortex</x:v>
      </x:c>
      <x:c r="C160" t="str">
        <x:v>Isocortex</x:v>
      </x:c>
      <x:c r="D160" s="17" t="b">
        <x:v>1</x:v>
      </x:c>
      <x:c r="E160" s="40" t="n">
        <x:v>-0.22</x:v>
      </x:c>
      <x:c r="F160" s="40" t="n">
        <x:v>1</x:v>
      </x:c>
      <x:c r="G160" s="40" t="n">
        <x:v>91.4893617021276</x:v>
      </x:c>
      <x:c r="H160" s="40" t="n">
        <x:v>0.2541554545804025</x:v>
      </x:c>
      <x:c r="I160" t="n">
        <x:v>1</x:v>
      </x:c>
      <x:c r="J160" s="17" t="b">
        <x:v>1</x:v>
      </x:c>
    </x:row>
    <x:row r="161">
      <x:c r="A161" t="str">
        <x:v>GU</x:v>
      </x:c>
      <x:c r="B161" t="str">
        <x:v>Gustatory areas</x:v>
      </x:c>
      <x:c r="C161" t="str">
        <x:v>Isocortex</x:v>
      </x:c>
      <x:c r="D161" s="17" t="b">
        <x:v>1</x:v>
      </x:c>
      <x:c r="E161" s="40" t="n">
        <x:v>-0.78</x:v>
      </x:c>
      <x:c r="F161" s="40" t="n">
        <x:v>0</x:v>
      </x:c>
      <x:c r="G161" s="40"/>
      <x:c r="H161" s="40"/>
      <x:c r="I161"/>
      <x:c r="J161" s="17" t="b">
        <x:v>1</x:v>
      </x:c>
    </x:row>
    <x:row r="162">
      <x:c r="A162" t="str">
        <x:v>ILA</x:v>
      </x:c>
      <x:c r="B162" t="str">
        <x:v>Infralimbic area</x:v>
      </x:c>
      <x:c r="C162" t="str">
        <x:v>Isocortex</x:v>
      </x:c>
      <x:c r="D162" s="17" t="b">
        <x:v>1</x:v>
      </x:c>
      <x:c r="E162" s="40" t="n">
        <x:v>-1.25</x:v>
      </x:c>
      <x:c r="F162" s="40" t="n">
        <x:v>0</x:v>
      </x:c>
      <x:c r="G162" s="40" t="n">
        <x:v>76.595744680851</x:v>
      </x:c>
      <x:c r="H162" s="40" t="n">
        <x:v>0.0502753952037443</x:v>
      </x:c>
      <x:c r="I162" t="n">
        <x:v>0</x:v>
      </x:c>
      <x:c r="J162" s="17" t="b">
        <x:v>1</x:v>
      </x:c>
    </x:row>
    <x:row r="163">
      <x:c r="A163" t="str">
        <x:v>MOp</x:v>
      </x:c>
      <x:c r="B163" t="str">
        <x:v>Primary motor area</x:v>
      </x:c>
      <x:c r="C163" t="str">
        <x:v>Isocortex</x:v>
      </x:c>
      <x:c r="D163" s="17" t="b">
        <x:v>1</x:v>
      </x:c>
      <x:c r="E163" s="40" t="n">
        <x:v>-0.98</x:v>
      </x:c>
      <x:c r="F163" s="40" t="n">
        <x:v>1</x:v>
      </x:c>
      <x:c r="G163" s="40" t="n">
        <x:v>95.7446808510638</x:v>
      </x:c>
      <x:c r="H163" s="40" t="n">
        <x:v>0.0871247928393143</x:v>
      </x:c>
      <x:c r="I163" t="n">
        <x:v>1</x:v>
      </x:c>
      <x:c r="J163" s="17" t="b">
        <x:v>1</x:v>
      </x:c>
    </x:row>
    <x:row r="164">
      <x:c r="A164" t="str">
        <x:v>MOs</x:v>
      </x:c>
      <x:c r="B164" t="str">
        <x:v>Secondary motor area</x:v>
      </x:c>
      <x:c r="C164" t="str">
        <x:v>Isocortex</x:v>
      </x:c>
      <x:c r="D164" s="17" t="b">
        <x:v>1</x:v>
      </x:c>
      <x:c r="E164" s="40" t="n">
        <x:v>-0.59</x:v>
      </x:c>
      <x:c r="F164" s="40" t="n">
        <x:v>1</x:v>
      </x:c>
      <x:c r="G164" s="40" t="n">
        <x:v>89.3617021276595</x:v>
      </x:c>
      <x:c r="H164" s="40" t="n">
        <x:v>0.2013861332729823</x:v>
      </x:c>
      <x:c r="I164" t="n">
        <x:v>1</x:v>
      </x:c>
      <x:c r="J164" s="17" t="b">
        <x:v>1</x:v>
      </x:c>
    </x:row>
    <x:row r="165">
      <x:c r="A165" t="str">
        <x:v>ORBl</x:v>
      </x:c>
      <x:c r="B165" t="str">
        <x:v>Orbital area lateral part</x:v>
      </x:c>
      <x:c r="C165" t="str">
        <x:v>Isocortex</x:v>
      </x:c>
      <x:c r="D165" s="17" t="b">
        <x:v>1</x:v>
      </x:c>
      <x:c r="E165" s="40" t="n">
        <x:v>-0.83</x:v>
      </x:c>
      <x:c r="F165" s="40" t="n">
        <x:v>0</x:v>
      </x:c>
      <x:c r="G165" s="40" t="n">
        <x:v>95.7446808510638</x:v>
      </x:c>
      <x:c r="H165" s="40" t="n">
        <x:v>0.1250645944529908</x:v>
      </x:c>
      <x:c r="I165" t="n">
        <x:v>1</x:v>
      </x:c>
      <x:c r="J165" s="17" t="b">
        <x:v>1</x:v>
      </x:c>
    </x:row>
    <x:row r="166">
      <x:c r="A166" t="str">
        <x:v>ORBm</x:v>
      </x:c>
      <x:c r="B166" t="str">
        <x:v>Orbital area medial part</x:v>
      </x:c>
      <x:c r="C166" t="str">
        <x:v>Isocortex</x:v>
      </x:c>
      <x:c r="D166" s="17" t="b">
        <x:v>1</x:v>
      </x:c>
      <x:c r="E166" s="40" t="n">
        <x:v>-0.83</x:v>
      </x:c>
      <x:c r="F166" s="40" t="n">
        <x:v>1</x:v>
      </x:c>
      <x:c r="G166" s="40" t="n">
        <x:v>82.9787234042553</x:v>
      </x:c>
      <x:c r="H166" s="40" t="n">
        <x:v>0.1441726872853942</x:v>
      </x:c>
      <x:c r="I166" t="n">
        <x:v>1</x:v>
      </x:c>
      <x:c r="J166" s="17" t="b">
        <x:v>1</x:v>
      </x:c>
    </x:row>
    <x:row r="167">
      <x:c r="A167" t="str">
        <x:v>ORBvl</x:v>
      </x:c>
      <x:c r="B167" t="str">
        <x:v>Orbital area ventrolateral part</x:v>
      </x:c>
      <x:c r="C167" t="str">
        <x:v>Isocortex</x:v>
      </x:c>
      <x:c r="D167" s="17" t="b">
        <x:v>1</x:v>
      </x:c>
      <x:c r="E167" s="40" t="n">
        <x:v>-0.5</x:v>
      </x:c>
      <x:c r="F167" s="40" t="n">
        <x:v>1</x:v>
      </x:c>
      <x:c r="G167" s="40" t="n">
        <x:v>89.3617021276595</x:v>
      </x:c>
      <x:c r="H167" s="40" t="n">
        <x:v>0.1540050946450318</x:v>
      </x:c>
      <x:c r="I167" t="n">
        <x:v>1</x:v>
      </x:c>
      <x:c r="J167" s="17" t="b">
        <x:v>1</x:v>
      </x:c>
    </x:row>
    <x:row r="168">
      <x:c r="A168" t="str">
        <x:v>PERI</x:v>
      </x:c>
      <x:c r="B168" t="str">
        <x:v>Perirhinal area</x:v>
      </x:c>
      <x:c r="C168" t="str">
        <x:v>Isocortex</x:v>
      </x:c>
      <x:c r="D168" s="17" t="b">
        <x:v>0</x:v>
      </x:c>
      <x:c r="E168" s="40"/>
      <x:c r="F168" s="40"/>
      <x:c r="G168" s="40"/>
      <x:c r="H168" s="40"/>
      <x:c r="I168"/>
      <x:c r="J168" s="17" t="b">
        <x:v>0</x:v>
      </x:c>
    </x:row>
    <x:row r="169">
      <x:c r="A169" t="str">
        <x:v>PL</x:v>
      </x:c>
      <x:c r="B169" t="str">
        <x:v>Prelimbic area</x:v>
      </x:c>
      <x:c r="C169" t="str">
        <x:v>Isocortex</x:v>
      </x:c>
      <x:c r="D169" s="17" t="b">
        <x:v>1</x:v>
      </x:c>
      <x:c r="E169" s="40" t="n">
        <x:v>-0.66</x:v>
      </x:c>
      <x:c r="F169" s="40" t="n">
        <x:v>1</x:v>
      </x:c>
      <x:c r="G169" s="40" t="n">
        <x:v>93.6170212765957</x:v>
      </x:c>
      <x:c r="H169" s="40" t="n">
        <x:v>0.2348332917961067</x:v>
      </x:c>
      <x:c r="I169" t="n">
        <x:v>1</x:v>
      </x:c>
      <x:c r="J169" s="17" t="b">
        <x:v>1</x:v>
      </x:c>
    </x:row>
    <x:row r="170">
      <x:c r="A170" t="str">
        <x:v>RSPagl</x:v>
      </x:c>
      <x:c r="B170" t="str">
        <x:v>Retrosplenial area lateral agranular part</x:v>
      </x:c>
      <x:c r="C170" t="str">
        <x:v>Isocortex</x:v>
      </x:c>
      <x:c r="D170" s="17" t="b">
        <x:v>1</x:v>
      </x:c>
      <x:c r="E170" s="40" t="n">
        <x:v>-0.92</x:v>
      </x:c>
      <x:c r="F170" s="40" t="n">
        <x:v>1</x:v>
      </x:c>
      <x:c r="G170" s="40" t="n">
        <x:v>93.6170212765957</x:v>
      </x:c>
      <x:c r="H170" s="40" t="n">
        <x:v>0.1092434251352193</x:v>
      </x:c>
      <x:c r="I170" t="n">
        <x:v>1</x:v>
      </x:c>
      <x:c r="J170" s="17" t="b">
        <x:v>1</x:v>
      </x:c>
    </x:row>
    <x:row r="171">
      <x:c r="A171" t="str">
        <x:v>RSPd</x:v>
      </x:c>
      <x:c r="B171" t="str">
        <x:v>Retrosplenial area dorsal part</x:v>
      </x:c>
      <x:c r="C171" t="str">
        <x:v>Isocortex</x:v>
      </x:c>
      <x:c r="D171" s="17" t="b">
        <x:v>1</x:v>
      </x:c>
      <x:c r="E171" s="40" t="n">
        <x:v>-1.09</x:v>
      </x:c>
      <x:c r="F171" s="40" t="n">
        <x:v>0</x:v>
      </x:c>
      <x:c r="G171" s="40" t="n">
        <x:v>63.829787234042506</x:v>
      </x:c>
      <x:c r="H171" s="40" t="n">
        <x:v>0.1268426513477097</x:v>
      </x:c>
      <x:c r="I171" t="n">
        <x:v>0</x:v>
      </x:c>
      <x:c r="J171" s="17" t="b">
        <x:v>1</x:v>
      </x:c>
    </x:row>
    <x:row r="172">
      <x:c r="A172" t="str">
        <x:v>RSPv</x:v>
      </x:c>
      <x:c r="B172" t="str">
        <x:v>Retrosplenial area ventral part</x:v>
      </x:c>
      <x:c r="C172" t="str">
        <x:v>Isocortex</x:v>
      </x:c>
      <x:c r="D172" s="17" t="b">
        <x:v>1</x:v>
      </x:c>
      <x:c r="E172" s="40" t="n">
        <x:v>-0.74</x:v>
      </x:c>
      <x:c r="F172" s="40" t="n">
        <x:v>1</x:v>
      </x:c>
      <x:c r="G172" s="40" t="n">
        <x:v>85.1063829787234</x:v>
      </x:c>
      <x:c r="H172" s="40" t="n">
        <x:v>0.2295494923164377</x:v>
      </x:c>
      <x:c r="I172" t="n">
        <x:v>1</x:v>
      </x:c>
      <x:c r="J172" s="17" t="b">
        <x:v>1</x:v>
      </x:c>
    </x:row>
    <x:row r="173">
      <x:c r="A173" t="str">
        <x:v>SSp-bfd</x:v>
      </x:c>
      <x:c r="B173" t="str">
        <x:v>Primary somatosensory area barrel field</x:v>
      </x:c>
      <x:c r="C173" t="str">
        <x:v>Isocortex</x:v>
      </x:c>
      <x:c r="D173" s="17" t="b">
        <x:v>1</x:v>
      </x:c>
      <x:c r="E173" s="40" t="n">
        <x:v>-1.04</x:v>
      </x:c>
      <x:c r="F173" s="40" t="n">
        <x:v>0</x:v>
      </x:c>
      <x:c r="G173" s="40" t="n">
        <x:v>57.4468085106383</x:v>
      </x:c>
      <x:c r="H173" s="40" t="n">
        <x:v>0.0507504551465108</x:v>
      </x:c>
      <x:c r="I173" t="n">
        <x:v>1</x:v>
      </x:c>
      <x:c r="J173" s="17" t="b">
        <x:v>1</x:v>
      </x:c>
    </x:row>
    <x:row r="174">
      <x:c r="A174" t="str">
        <x:v>SSp-ll</x:v>
      </x:c>
      <x:c r="B174" t="str">
        <x:v>Primary somatosensory area lower limb</x:v>
      </x:c>
      <x:c r="C174" t="str">
        <x:v>Isocortex</x:v>
      </x:c>
      <x:c r="D174" s="17" t="b">
        <x:v>1</x:v>
      </x:c>
      <x:c r="E174" s="40" t="n">
        <x:v>-0.88</x:v>
      </x:c>
      <x:c r="F174" s="40" t="n">
        <x:v>0</x:v>
      </x:c>
      <x:c r="G174" s="40" t="n">
        <x:v>17.021276595744602</x:v>
      </x:c>
      <x:c r="H174" s="40" t="n">
        <x:v>0.165429882934157</x:v>
      </x:c>
      <x:c r="I174" t="n">
        <x:v>0</x:v>
      </x:c>
      <x:c r="J174" s="17" t="b">
        <x:v>1</x:v>
      </x:c>
    </x:row>
    <x:row r="175">
      <x:c r="A175" t="str">
        <x:v>SSp-m</x:v>
      </x:c>
      <x:c r="B175" t="str">
        <x:v>Primary somatosensory area mouth</x:v>
      </x:c>
      <x:c r="C175" t="str">
        <x:v>Isocortex</x:v>
      </x:c>
      <x:c r="D175" s="17" t="b">
        <x:v>1</x:v>
      </x:c>
      <x:c r="E175" s="40" t="n">
        <x:v>-1.03</x:v>
      </x:c>
      <x:c r="F175" s="40" t="n">
        <x:v>0</x:v>
      </x:c>
      <x:c r="G175" s="40" t="n">
        <x:v>53.191489361702104</x:v>
      </x:c>
      <x:c r="H175" s="40" t="n">
        <x:v>0.1252453930088344</x:v>
      </x:c>
      <x:c r="I175" t="n">
        <x:v>1</x:v>
      </x:c>
      <x:c r="J175" s="17" t="b">
        <x:v>1</x:v>
      </x:c>
    </x:row>
    <x:row r="176">
      <x:c r="A176" t="str">
        <x:v>SSp-n</x:v>
      </x:c>
      <x:c r="B176" t="str">
        <x:v>Primary somatosensory area nose</x:v>
      </x:c>
      <x:c r="C176" t="str">
        <x:v>Isocortex</x:v>
      </x:c>
      <x:c r="D176" s="17" t="b">
        <x:v>1</x:v>
      </x:c>
      <x:c r="E176" s="40" t="n">
        <x:v>-0.86</x:v>
      </x:c>
      <x:c r="F176" s="40" t="n">
        <x:v>0</x:v>
      </x:c>
      <x:c r="G176" s="40"/>
      <x:c r="H176" s="40" t="n">
        <x:v>0.1646769041179042</x:v>
      </x:c>
      <x:c r="I176" t="n">
        <x:v>0</x:v>
      </x:c>
      <x:c r="J176" s="17" t="b">
        <x:v>1</x:v>
      </x:c>
    </x:row>
    <x:row r="177">
      <x:c r="A177" t="str">
        <x:v>SSp-tr</x:v>
      </x:c>
      <x:c r="B177" t="str">
        <x:v>Primary somatosensory area trunk</x:v>
      </x:c>
      <x:c r="C177" t="str">
        <x:v>Isocortex</x:v>
      </x:c>
      <x:c r="D177" s="17" t="b">
        <x:v>1</x:v>
      </x:c>
      <x:c r="E177" s="40" t="n">
        <x:v>-1.02</x:v>
      </x:c>
      <x:c r="F177" s="40" t="n">
        <x:v>0</x:v>
      </x:c>
      <x:c r="G177" s="40" t="n">
        <x:v>42.5531914893617</x:v>
      </x:c>
      <x:c r="H177" s="40" t="n">
        <x:v>0.0851327021726706</x:v>
      </x:c>
      <x:c r="I177" t="n">
        <x:v>0</x:v>
      </x:c>
      <x:c r="J177" s="17" t="b">
        <x:v>1</x:v>
      </x:c>
    </x:row>
    <x:row r="178">
      <x:c r="A178" t="str">
        <x:v>SSp-ul</x:v>
      </x:c>
      <x:c r="B178" t="str">
        <x:v>Primary somatosensory area upper limb</x:v>
      </x:c>
      <x:c r="C178" t="str">
        <x:v>Isocortex</x:v>
      </x:c>
      <x:c r="D178" s="17" t="b">
        <x:v>1</x:v>
      </x:c>
      <x:c r="E178" s="40" t="n">
        <x:v>-0.44</x:v>
      </x:c>
      <x:c r="F178" s="40" t="n">
        <x:v>1</x:v>
      </x:c>
      <x:c r="G178" s="40" t="n">
        <x:v>95.7446808510638</x:v>
      </x:c>
      <x:c r="H178" s="40" t="n">
        <x:v>0.4671783632533834</x:v>
      </x:c>
      <x:c r="I178" t="n">
        <x:v>1</x:v>
      </x:c>
      <x:c r="J178" s="17" t="b">
        <x:v>1</x:v>
      </x:c>
    </x:row>
    <x:row r="179">
      <x:c r="A179" t="str">
        <x:v>SSp-un</x:v>
      </x:c>
      <x:c r="B179" t="str">
        <x:v>Primary somatosensory area unassigned</x:v>
      </x:c>
      <x:c r="C179" t="str">
        <x:v>Isocortex</x:v>
      </x:c>
      <x:c r="D179" s="17" t="b">
        <x:v>1</x:v>
      </x:c>
      <x:c r="E179" s="40" t="n">
        <x:v>-0.88</x:v>
      </x:c>
      <x:c r="F179" s="40" t="n">
        <x:v>0</x:v>
      </x:c>
      <x:c r="G179" s="40" t="n">
        <x:v>85.1063829787234</x:v>
      </x:c>
      <x:c r="H179" s="40" t="n">
        <x:v>0.2019856039314449</x:v>
      </x:c>
      <x:c r="I179" t="n">
        <x:v>1</x:v>
      </x:c>
      <x:c r="J179" s="17" t="b">
        <x:v>1</x:v>
      </x:c>
    </x:row>
    <x:row r="180">
      <x:c r="A180" t="str">
        <x:v>SSs</x:v>
      </x:c>
      <x:c r="B180" t="str">
        <x:v>Supplemental somatosensory area</x:v>
      </x:c>
      <x:c r="C180" t="str">
        <x:v>Isocortex</x:v>
      </x:c>
      <x:c r="D180" s="17" t="b">
        <x:v>1</x:v>
      </x:c>
      <x:c r="E180" s="40" t="n">
        <x:v>-1.04</x:v>
      </x:c>
      <x:c r="F180" s="40" t="n">
        <x:v>0</x:v>
      </x:c>
      <x:c r="G180" s="40" t="n">
        <x:v>82.9787234042553</x:v>
      </x:c>
      <x:c r="H180" s="40" t="n">
        <x:v>0.0751349807542944</x:v>
      </x:c>
      <x:c r="I180" t="n">
        <x:v>1</x:v>
      </x:c>
      <x:c r="J180" s="17" t="b">
        <x:v>1</x:v>
      </x:c>
    </x:row>
    <x:row r="181">
      <x:c r="A181" t="str">
        <x:v>TEa</x:v>
      </x:c>
      <x:c r="B181" t="str">
        <x:v>Temporal association areas</x:v>
      </x:c>
      <x:c r="C181" t="str">
        <x:v>Isocortex</x:v>
      </x:c>
      <x:c r="D181" s="17" t="b">
        <x:v>1</x:v>
      </x:c>
      <x:c r="E181" s="40" t="n">
        <x:v>-1.03</x:v>
      </x:c>
      <x:c r="F181" s="40" t="n">
        <x:v>1</x:v>
      </x:c>
      <x:c r="G181" s="40" t="n">
        <x:v>76.595744680851</x:v>
      </x:c>
      <x:c r="H181" s="40" t="n">
        <x:v>0.0988521836921486</x:v>
      </x:c>
      <x:c r="I181" t="n">
        <x:v>1</x:v>
      </x:c>
      <x:c r="J181" s="17" t="b">
        <x:v>1</x:v>
      </x:c>
    </x:row>
    <x:row r="182">
      <x:c r="A182" t="str">
        <x:v>VISC</x:v>
      </x:c>
      <x:c r="B182" t="str">
        <x:v>Visceral area</x:v>
      </x:c>
      <x:c r="C182" t="str">
        <x:v>Isocortex</x:v>
      </x:c>
      <x:c r="D182" s="17" t="b">
        <x:v>1</x:v>
      </x:c>
      <x:c r="E182" s="40" t="n">
        <x:v>-0.9</x:v>
      </x:c>
      <x:c r="F182" s="40" t="n">
        <x:v>0</x:v>
      </x:c>
      <x:c r="G182" s="40" t="n">
        <x:v>2.1276595744680002</x:v>
      </x:c>
      <x:c r="H182" s="40" t="n">
        <x:v>0.1263485360057871</x:v>
      </x:c>
      <x:c r="I182" t="n">
        <x:v>0</x:v>
      </x:c>
      <x:c r="J182" s="17" t="b">
        <x:v>1</x:v>
      </x:c>
    </x:row>
    <x:row r="183">
      <x:c r="A183" t="str">
        <x:v>VISa</x:v>
      </x:c>
      <x:c r="B183" t="str">
        <x:v>Anterior area</x:v>
      </x:c>
      <x:c r="C183" t="str">
        <x:v>Isocortex</x:v>
      </x:c>
      <x:c r="D183" s="17" t="b">
        <x:v>1</x:v>
      </x:c>
      <x:c r="E183" s="40" t="n">
        <x:v>-0.85</x:v>
      </x:c>
      <x:c r="F183" s="40" t="n">
        <x:v>1</x:v>
      </x:c>
      <x:c r="G183" s="40" t="n">
        <x:v>59.574468085106304</x:v>
      </x:c>
      <x:c r="H183" s="40" t="n">
        <x:v>0.1022000783058829</x:v>
      </x:c>
      <x:c r="I183" t="n">
        <x:v>0</x:v>
      </x:c>
      <x:c r="J183" s="17" t="b">
        <x:v>1</x:v>
      </x:c>
    </x:row>
    <x:row r="184">
      <x:c r="A184" t="str">
        <x:v>VISal</x:v>
      </x:c>
      <x:c r="B184" t="str">
        <x:v>Anterolateral visual area</x:v>
      </x:c>
      <x:c r="C184" t="str">
        <x:v>Isocortex</x:v>
      </x:c>
      <x:c r="D184" s="17" t="b">
        <x:v>1</x:v>
      </x:c>
      <x:c r="E184" s="40" t="n">
        <x:v>-0.41</x:v>
      </x:c>
      <x:c r="F184" s="40" t="n">
        <x:v>1</x:v>
      </x:c>
      <x:c r="G184" s="40" t="n">
        <x:v>48.9361702127659</x:v>
      </x:c>
      <x:c r="H184" s="40" t="n">
        <x:v>0.3976766592671978</x:v>
      </x:c>
      <x:c r="I184" t="n">
        <x:v>1</x:v>
      </x:c>
      <x:c r="J184" s="17" t="b">
        <x:v>1</x:v>
      </x:c>
    </x:row>
    <x:row r="185">
      <x:c r="A185" t="str">
        <x:v>VISam</x:v>
      </x:c>
      <x:c r="B185" t="str">
        <x:v>Anteromedial visual area</x:v>
      </x:c>
      <x:c r="C185" t="str">
        <x:v>Isocortex</x:v>
      </x:c>
      <x:c r="D185" s="17" t="b">
        <x:v>1</x:v>
      </x:c>
      <x:c r="E185" s="40" t="n">
        <x:v>-0.51</x:v>
      </x:c>
      <x:c r="F185" s="40" t="n">
        <x:v>1</x:v>
      </x:c>
      <x:c r="G185" s="40" t="n">
        <x:v>65.9574468085106</x:v>
      </x:c>
      <x:c r="H185" s="40" t="n">
        <x:v>0.3262557825359652</x:v>
      </x:c>
      <x:c r="I185" t="n">
        <x:v>1</x:v>
      </x:c>
      <x:c r="J185" s="17" t="b">
        <x:v>1</x:v>
      </x:c>
    </x:row>
    <x:row r="186">
      <x:c r="A186" t="str">
        <x:v>VISl</x:v>
      </x:c>
      <x:c r="B186" t="str">
        <x:v>Lateral visual area</x:v>
      </x:c>
      <x:c r="C186" t="str">
        <x:v>Isocortex</x:v>
      </x:c>
      <x:c r="D186" s="17" t="b">
        <x:v>1</x:v>
      </x:c>
      <x:c r="E186" s="40" t="n">
        <x:v>-0.45</x:v>
      </x:c>
      <x:c r="F186" s="40" t="n">
        <x:v>1</x:v>
      </x:c>
      <x:c r="G186" s="40" t="n">
        <x:v>42.5531914893617</x:v>
      </x:c>
      <x:c r="H186" s="40" t="n">
        <x:v>0.5692015224823346</x:v>
      </x:c>
      <x:c r="I186" t="n">
        <x:v>1</x:v>
      </x:c>
      <x:c r="J186" s="17" t="b">
        <x:v>1</x:v>
      </x:c>
    </x:row>
    <x:row r="187">
      <x:c r="A187" t="str">
        <x:v>VISli</x:v>
      </x:c>
      <x:c r="B187" t="str">
        <x:v>Laterointermediate area</x:v>
      </x:c>
      <x:c r="C187" t="str">
        <x:v>Isocortex</x:v>
      </x:c>
      <x:c r="D187" s="17" t="b">
        <x:v>1</x:v>
      </x:c>
      <x:c r="E187" s="40" t="n">
        <x:v>-0.59</x:v>
      </x:c>
      <x:c r="F187" s="40" t="n">
        <x:v>1</x:v>
      </x:c>
      <x:c r="G187" s="40" t="n">
        <x:v>51.063829787234</x:v>
      </x:c>
      <x:c r="H187" s="40" t="n">
        <x:v>0.2451507272176948</x:v>
      </x:c>
      <x:c r="I187" t="n">
        <x:v>1</x:v>
      </x:c>
      <x:c r="J187" s="17" t="b">
        <x:v>1</x:v>
      </x:c>
    </x:row>
    <x:row r="188">
      <x:c r="A188" t="str">
        <x:v>VISp</x:v>
      </x:c>
      <x:c r="B188" t="str">
        <x:v>Primary visual area</x:v>
      </x:c>
      <x:c r="C188" t="str">
        <x:v>Isocortex</x:v>
      </x:c>
      <x:c r="D188" s="17" t="b">
        <x:v>1</x:v>
      </x:c>
      <x:c r="E188" s="40" t="n">
        <x:v>-0.44</x:v>
      </x:c>
      <x:c r="F188" s="40" t="n">
        <x:v>1</x:v>
      </x:c>
      <x:c r="G188" s="40" t="n">
        <x:v>44.6808510638297</x:v>
      </x:c>
      <x:c r="H188" s="40" t="n">
        <x:v>0.1953490306346462</x:v>
      </x:c>
      <x:c r="I188" t="n">
        <x:v>1</x:v>
      </x:c>
      <x:c r="J188" s="17" t="b">
        <x:v>1</x:v>
      </x:c>
    </x:row>
    <x:row r="189">
      <x:c r="A189" t="str">
        <x:v>VISpl</x:v>
      </x:c>
      <x:c r="B189" t="str">
        <x:v>Posterolateral visual area</x:v>
      </x:c>
      <x:c r="C189" t="str">
        <x:v>Isocortex</x:v>
      </x:c>
      <x:c r="D189" s="17" t="b">
        <x:v>1</x:v>
      </x:c>
      <x:c r="E189" s="40" t="n">
        <x:v>-1.03</x:v>
      </x:c>
      <x:c r="F189" s="40" t="n">
        <x:v>0</x:v>
      </x:c>
      <x:c r="G189" s="40" t="n">
        <x:v>40.4255319148936</x:v>
      </x:c>
      <x:c r="H189" s="40" t="n">
        <x:v>0.0910439706985365</x:v>
      </x:c>
      <x:c r="I189" t="n">
        <x:v>0</x:v>
      </x:c>
      <x:c r="J189" s="17" t="b">
        <x:v>1</x:v>
      </x:c>
    </x:row>
    <x:row r="190">
      <x:c r="A190" t="str">
        <x:v>VISpm</x:v>
      </x:c>
      <x:c r="B190" t="str">
        <x:v>posteromedial visual area</x:v>
      </x:c>
      <x:c r="C190" t="str">
        <x:v>Isocortex</x:v>
      </x:c>
      <x:c r="D190" s="17" t="b">
        <x:v>1</x:v>
      </x:c>
      <x:c r="E190" s="40" t="n">
        <x:v>-0.41</x:v>
      </x:c>
      <x:c r="F190" s="40" t="n">
        <x:v>1</x:v>
      </x:c>
      <x:c r="G190" s="40" t="n">
        <x:v>59.574468085106304</x:v>
      </x:c>
      <x:c r="H190" s="40" t="n">
        <x:v>0.4086607150272466</x:v>
      </x:c>
      <x:c r="I190" t="n">
        <x:v>1</x:v>
      </x:c>
      <x:c r="J190" s="17" t="b">
        <x:v>1</x:v>
      </x:c>
    </x:row>
    <x:row r="191">
      <x:c r="A191" t="str">
        <x:v>VISpor</x:v>
      </x:c>
      <x:c r="B191" t="str">
        <x:v>Postrhinal area</x:v>
      </x:c>
      <x:c r="C191" t="str">
        <x:v>Isocortex</x:v>
      </x:c>
      <x:c r="D191" s="17" t="b">
        <x:v>1</x:v>
      </x:c>
      <x:c r="E191" s="40" t="n">
        <x:v>-0.9</x:v>
      </x:c>
      <x:c r="F191" s="40" t="n">
        <x:v>0</x:v>
      </x:c>
      <x:c r="G191" s="40" t="n">
        <x:v>51.063829787234</x:v>
      </x:c>
      <x:c r="H191" s="40" t="n">
        <x:v>0.1117299354709501</x:v>
      </x:c>
      <x:c r="I191" t="n">
        <x:v>0</x:v>
      </x:c>
      <x:c r="J191" s="17" t="b">
        <x:v>1</x:v>
      </x:c>
    </x:row>
    <x:row r="192">
      <x:c r="A192" t="str">
        <x:v>VISrl</x:v>
      </x:c>
      <x:c r="B192" t="str">
        <x:v>Rostrolateral visual area</x:v>
      </x:c>
      <x:c r="C192" t="str">
        <x:v>Isocortex</x:v>
      </x:c>
      <x:c r="D192" s="17" t="b">
        <x:v>1</x:v>
      </x:c>
      <x:c r="E192" s="40" t="n">
        <x:v>-0.99</x:v>
      </x:c>
      <x:c r="F192" s="40" t="n">
        <x:v>0</x:v>
      </x:c>
      <x:c r="G192" s="40" t="n">
        <x:v>42.5531914893617</x:v>
      </x:c>
      <x:c r="H192" s="40" t="n">
        <x:v>0.1434126617713776</x:v>
      </x:c>
      <x:c r="I192" t="n">
        <x:v>1</x:v>
      </x:c>
      <x:c r="J192" s="17" t="b">
        <x:v>1</x:v>
      </x:c>
    </x:row>
    <x:row r="193">
      <x:c r="A193" t="str">
        <x:v>APN</x:v>
      </x:c>
      <x:c r="B193" t="str">
        <x:v>Anterior pretectal nucleus</x:v>
      </x:c>
      <x:c r="C193" t="str">
        <x:v>Midbrain</x:v>
      </x:c>
      <x:c r="D193" s="17" t="b">
        <x:v>1</x:v>
      </x:c>
      <x:c r="E193" s="40" t="n">
        <x:v>-0.54</x:v>
      </x:c>
      <x:c r="F193" s="40" t="n">
        <x:v>1</x:v>
      </x:c>
      <x:c r="G193" s="40" t="n">
        <x:v>89.3617021276595</x:v>
      </x:c>
      <x:c r="H193" s="40" t="n">
        <x:v>0.3504728558460734</x:v>
      </x:c>
      <x:c r="I193" t="n">
        <x:v>1</x:v>
      </x:c>
      <x:c r="J193" s="17" t="b">
        <x:v>1</x:v>
      </x:c>
    </x:row>
    <x:row r="194">
      <x:c r="A194" t="str">
        <x:v>AT</x:v>
      </x:c>
      <x:c r="B194" t="str">
        <x:v>Anterior tegmental nucleus</x:v>
      </x:c>
      <x:c r="C194" t="str">
        <x:v>Midbrain</x:v>
      </x:c>
      <x:c r="D194" s="17" t="b">
        <x:v>0</x:v>
      </x:c>
      <x:c r="E194" s="40"/>
      <x:c r="F194" s="40"/>
      <x:c r="G194" s="40"/>
      <x:c r="H194" s="40"/>
      <x:c r="I194"/>
      <x:c r="J194" s="17" t="b">
        <x:v>0</x:v>
      </x:c>
    </x:row>
    <x:row r="195">
      <x:c r="A195" t="str">
        <x:v>CLI</x:v>
      </x:c>
      <x:c r="B195" t="str">
        <x:v>Central linear nucleus raphe</x:v>
      </x:c>
      <x:c r="C195" t="str">
        <x:v>Midbrain</x:v>
      </x:c>
      <x:c r="D195" s="17" t="b">
        <x:v>1</x:v>
      </x:c>
      <x:c r="E195" s="40" t="n">
        <x:v>-0.74</x:v>
      </x:c>
      <x:c r="F195" s="40" t="n">
        <x:v>0</x:v>
      </x:c>
      <x:c r="G195" s="40"/>
      <x:c r="H195" s="40"/>
      <x:c r="I195"/>
      <x:c r="J195" s="17" t="b">
        <x:v>1</x:v>
      </x:c>
    </x:row>
    <x:row r="196">
      <x:c r="A196" t="str">
        <x:v>CUN</x:v>
      </x:c>
      <x:c r="B196" t="str">
        <x:v>Cuneiform nucleus</x:v>
      </x:c>
      <x:c r="C196" t="str">
        <x:v>Midbrain</x:v>
      </x:c>
      <x:c r="D196" s="17" t="b">
        <x:v>1</x:v>
      </x:c>
      <x:c r="E196" s="40" t="n">
        <x:v>-0.51</x:v>
      </x:c>
      <x:c r="F196" s="40" t="n">
        <x:v>0</x:v>
      </x:c>
      <x:c r="G196" s="40" t="n">
        <x:v>6.3829787234042</x:v>
      </x:c>
      <x:c r="H196" s="40" t="n">
        <x:v>0.2660267641434384</x:v>
      </x:c>
      <x:c r="I196" t="n">
        <x:v>1</x:v>
      </x:c>
      <x:c r="J196" s="17" t="b">
        <x:v>1</x:v>
      </x:c>
    </x:row>
    <x:row r="197">
      <x:c r="A197" t="str">
        <x:v>DR</x:v>
      </x:c>
      <x:c r="B197" t="str">
        <x:v>Dorsal nucleus raphe</x:v>
      </x:c>
      <x:c r="C197" t="str">
        <x:v>Midbrain</x:v>
      </x:c>
      <x:c r="D197" s="17" t="b">
        <x:v>1</x:v>
      </x:c>
      <x:c r="E197" s="40" t="n">
        <x:v>-0.56</x:v>
      </x:c>
      <x:c r="F197" s="40" t="n">
        <x:v>0</x:v>
      </x:c>
      <x:c r="G197" s="40"/>
      <x:c r="H197" s="40"/>
      <x:c r="I197"/>
      <x:c r="J197" s="17" t="b">
        <x:v>1</x:v>
      </x:c>
    </x:row>
    <x:row r="198">
      <x:c r="A198" t="str">
        <x:v>DT</x:v>
      </x:c>
      <x:c r="B198" t="str">
        <x:v>Dorsal terminal nucleus of the accessory optic tract</x:v>
      </x:c>
      <x:c r="C198" t="str">
        <x:v>Midbrain</x:v>
      </x:c>
      <x:c r="D198" s="17" t="b">
        <x:v>0</x:v>
      </x:c>
      <x:c r="E198" s="40"/>
      <x:c r="F198" s="40"/>
      <x:c r="G198" s="40"/>
      <x:c r="H198" s="40"/>
      <x:c r="I198"/>
      <x:c r="J198" s="17" t="b">
        <x:v>0</x:v>
      </x:c>
    </x:row>
    <x:row r="199">
      <x:c r="A199" t="str">
        <x:v>EW</x:v>
      </x:c>
      <x:c r="B199" t="str">
        <x:v>Edinger-Westphal nucleus</x:v>
      </x:c>
      <x:c r="C199" t="str">
        <x:v>Midbrain</x:v>
      </x:c>
      <x:c r="D199" s="17" t="b">
        <x:v>0</x:v>
      </x:c>
      <x:c r="E199" s="40"/>
      <x:c r="F199" s="40"/>
      <x:c r="G199" s="40"/>
      <x:c r="H199" s="40"/>
      <x:c r="I199"/>
      <x:c r="J199" s="17" t="b">
        <x:v>0</x:v>
      </x:c>
    </x:row>
    <x:row r="200">
      <x:c r="A200" t="str">
        <x:v>IC</x:v>
      </x:c>
      <x:c r="B200" t="str">
        <x:v>Inferior colliculus</x:v>
      </x:c>
      <x:c r="C200" t="str">
        <x:v>Midbrain</x:v>
      </x:c>
      <x:c r="D200" s="17" t="b">
        <x:v>1</x:v>
      </x:c>
      <x:c r="E200" s="40" t="n">
        <x:v>-0.64</x:v>
      </x:c>
      <x:c r="F200" s="40" t="n">
        <x:v>1</x:v>
      </x:c>
      <x:c r="G200" s="40"/>
      <x:c r="H200" s="40" t="n">
        <x:v>0.165637439968695</x:v>
      </x:c>
      <x:c r="I200" t="n">
        <x:v>0</x:v>
      </x:c>
      <x:c r="J200" s="17" t="b">
        <x:v>1</x:v>
      </x:c>
    </x:row>
    <x:row r="201">
      <x:c r="A201" t="str">
        <x:v>IF</x:v>
      </x:c>
      <x:c r="B201" t="str">
        <x:v>Interfascicular nucleus raphe</x:v>
      </x:c>
      <x:c r="C201" t="str">
        <x:v>Midbrain</x:v>
      </x:c>
      <x:c r="D201" s="17" t="b">
        <x:v>0</x:v>
      </x:c>
      <x:c r="E201" s="40"/>
      <x:c r="F201" s="40"/>
      <x:c r="G201" s="40"/>
      <x:c r="H201" s="40"/>
      <x:c r="I201"/>
      <x:c r="J201" s="17" t="b">
        <x:v>0</x:v>
      </x:c>
    </x:row>
    <x:row r="202">
      <x:c r="A202" t="str">
        <x:v>III</x:v>
      </x:c>
      <x:c r="B202" t="str">
        <x:v>Oculomotor nucleus</x:v>
      </x:c>
      <x:c r="C202" t="str">
        <x:v>Midbrain</x:v>
      </x:c>
      <x:c r="D202" s="17" t="b">
        <x:v>0</x:v>
      </x:c>
      <x:c r="E202" s="40"/>
      <x:c r="F202" s="40"/>
      <x:c r="G202" s="40"/>
      <x:c r="H202" s="40"/>
      <x:c r="I202"/>
      <x:c r="J202" s="17" t="b">
        <x:v>0</x:v>
      </x:c>
    </x:row>
    <x:row r="203">
      <x:c r="A203" t="str">
        <x:v>IPN</x:v>
      </x:c>
      <x:c r="B203" t="str">
        <x:v>Interpeduncular nucleus</x:v>
      </x:c>
      <x:c r="C203" t="str">
        <x:v>Midbrain</x:v>
      </x:c>
      <x:c r="D203" s="17" t="b">
        <x:v>0</x:v>
      </x:c>
      <x:c r="E203" s="40"/>
      <x:c r="F203" s="40"/>
      <x:c r="G203" s="40"/>
      <x:c r="H203" s="40"/>
      <x:c r="I203"/>
      <x:c r="J203" s="17" t="b">
        <x:v>0</x:v>
      </x:c>
    </x:row>
    <x:row r="204">
      <x:c r="A204" t="str">
        <x:v>MA3</x:v>
      </x:c>
      <x:c r="B204" t="str">
        <x:v>Medial accesory oculomotor nucleus</x:v>
      </x:c>
      <x:c r="C204" t="str">
        <x:v>Midbrain</x:v>
      </x:c>
      <x:c r="D204" s="17" t="b">
        <x:v>0</x:v>
      </x:c>
      <x:c r="E204" s="40"/>
      <x:c r="F204" s="40"/>
      <x:c r="G204" s="40"/>
      <x:c r="H204" s="40"/>
      <x:c r="I204"/>
      <x:c r="J204" s="17" t="b">
        <x:v>0</x:v>
      </x:c>
    </x:row>
    <x:row r="205">
      <x:c r="A205" t="str">
        <x:v>MPT</x:v>
      </x:c>
      <x:c r="B205" t="str">
        <x:v>Medial pretectal area</x:v>
      </x:c>
      <x:c r="C205" t="str">
        <x:v>Midbrain</x:v>
      </x:c>
      <x:c r="D205" s="17" t="b">
        <x:v>0</x:v>
      </x:c>
      <x:c r="E205" s="40"/>
      <x:c r="F205" s="40"/>
      <x:c r="G205" s="40"/>
      <x:c r="H205" s="40"/>
      <x:c r="I205"/>
      <x:c r="J205" s="17" t="b">
        <x:v>0</x:v>
      </x:c>
    </x:row>
    <x:row r="206">
      <x:c r="A206" t="str">
        <x:v>MRN</x:v>
      </x:c>
      <x:c r="B206" t="str">
        <x:v>Midbrain reticular nucleus</x:v>
      </x:c>
      <x:c r="C206" t="str">
        <x:v>Midbrain</x:v>
      </x:c>
      <x:c r="D206" s="17" t="b">
        <x:v>1</x:v>
      </x:c>
      <x:c r="E206" s="40" t="n">
        <x:v>-0.2</x:v>
      </x:c>
      <x:c r="F206" s="40" t="n">
        <x:v>1</x:v>
      </x:c>
      <x:c r="G206" s="40" t="n">
        <x:v>78.7234042553191</x:v>
      </x:c>
      <x:c r="H206" s="40" t="n">
        <x:v>0.6534734633393042</x:v>
      </x:c>
      <x:c r="I206" t="n">
        <x:v>1</x:v>
      </x:c>
      <x:c r="J206" s="17" t="b">
        <x:v>1</x:v>
      </x:c>
    </x:row>
    <x:row r="207">
      <x:c r="A207" t="str">
        <x:v>MT</x:v>
      </x:c>
      <x:c r="B207" t="str">
        <x:v>Medial terminal nucleus of the accessory optic tract</x:v>
      </x:c>
      <x:c r="C207" t="str">
        <x:v>Midbrain</x:v>
      </x:c>
      <x:c r="D207" s="17" t="b">
        <x:v>0</x:v>
      </x:c>
      <x:c r="E207" s="40"/>
      <x:c r="F207" s="40"/>
      <x:c r="G207" s="40"/>
      <x:c r="H207" s="40"/>
      <x:c r="I207"/>
      <x:c r="J207" s="17" t="b">
        <x:v>0</x:v>
      </x:c>
    </x:row>
    <x:row r="208">
      <x:c r="A208" t="str">
        <x:v>NB</x:v>
      </x:c>
      <x:c r="B208" t="str">
        <x:v>Nucleus of the brachium of the inferior colliculus</x:v>
      </x:c>
      <x:c r="C208" t="str">
        <x:v>Midbrain</x:v>
      </x:c>
      <x:c r="D208" s="17" t="b">
        <x:v>1</x:v>
      </x:c>
      <x:c r="E208" s="40" t="n">
        <x:v>-0.01</x:v>
      </x:c>
      <x:c r="F208" s="40" t="n">
        <x:v>1</x:v>
      </x:c>
      <x:c r="G208" s="40"/>
      <x:c r="H208" s="40"/>
      <x:c r="I208"/>
      <x:c r="J208" s="17" t="b">
        <x:v>1</x:v>
      </x:c>
    </x:row>
    <x:row r="209">
      <x:c r="A209" t="str">
        <x:v>NOT</x:v>
      </x:c>
      <x:c r="B209" t="str">
        <x:v>Nucleus of the optic tract</x:v>
      </x:c>
      <x:c r="C209" t="str">
        <x:v>Midbrain</x:v>
      </x:c>
      <x:c r="D209" s="17" t="b">
        <x:v>1</x:v>
      </x:c>
      <x:c r="E209" s="40" t="n">
        <x:v>-0.04</x:v>
      </x:c>
      <x:c r="F209" s="40" t="n">
        <x:v>1</x:v>
      </x:c>
      <x:c r="G209" s="40"/>
      <x:c r="H209" s="40"/>
      <x:c r="I209"/>
      <x:c r="J209" s="17" t="b">
        <x:v>1</x:v>
      </x:c>
    </x:row>
    <x:row r="210">
      <x:c r="A210" t="str">
        <x:v>NPC</x:v>
      </x:c>
      <x:c r="B210" t="str">
        <x:v>Nucleus of the posterior commissure</x:v>
      </x:c>
      <x:c r="C210" t="str">
        <x:v>Midbrain</x:v>
      </x:c>
      <x:c r="D210" s="17" t="b">
        <x:v>1</x:v>
      </x:c>
      <x:c r="E210" s="40" t="n">
        <x:v>-0.24</x:v>
      </x:c>
      <x:c r="F210" s="40" t="n">
        <x:v>1</x:v>
      </x:c>
      <x:c r="G210" s="40"/>
      <x:c r="H210" s="40"/>
      <x:c r="I210"/>
      <x:c r="J210" s="17" t="b">
        <x:v>1</x:v>
      </x:c>
    </x:row>
    <x:row r="211">
      <x:c r="A211" t="str">
        <x:v>OP</x:v>
      </x:c>
      <x:c r="B211" t="str">
        <x:v>Olivary pretectal nucleus</x:v>
      </x:c>
      <x:c r="C211" t="str">
        <x:v>Midbrain</x:v>
      </x:c>
      <x:c r="D211" s="17" t="b">
        <x:v>1</x:v>
      </x:c>
      <x:c r="E211" s="40" t="n">
        <x:v>-0.03</x:v>
      </x:c>
      <x:c r="F211" s="40" t="n">
        <x:v>1</x:v>
      </x:c>
      <x:c r="G211" s="40"/>
      <x:c r="H211" s="40"/>
      <x:c r="I211"/>
      <x:c r="J211" s="17" t="b">
        <x:v>1</x:v>
      </x:c>
    </x:row>
    <x:row r="212">
      <x:c r="A212" t="str">
        <x:v>PAG</x:v>
      </x:c>
      <x:c r="B212" t="str">
        <x:v>Periaqueductal gray</x:v>
      </x:c>
      <x:c r="C212" t="str">
        <x:v>Midbrain</x:v>
      </x:c>
      <x:c r="D212" s="17" t="b">
        <x:v>1</x:v>
      </x:c>
      <x:c r="E212" s="40" t="n">
        <x:v>-0.63</x:v>
      </x:c>
      <x:c r="F212" s="40" t="n">
        <x:v>1</x:v>
      </x:c>
      <x:c r="G212" s="40" t="n">
        <x:v>85.1063829787234</x:v>
      </x:c>
      <x:c r="H212" s="40" t="n">
        <x:v>0.2310559493982268</x:v>
      </x:c>
      <x:c r="I212" t="n">
        <x:v>1</x:v>
      </x:c>
      <x:c r="J212" s="17" t="b">
        <x:v>1</x:v>
      </x:c>
    </x:row>
    <x:row r="213">
      <x:c r="A213" t="str">
        <x:v>PBG</x:v>
      </x:c>
      <x:c r="B213" t="str">
        <x:v>Parabigeminal nucleus</x:v>
      </x:c>
      <x:c r="C213" t="str">
        <x:v>Midbrain</x:v>
      </x:c>
      <x:c r="D213" s="17" t="b">
        <x:v>1</x:v>
      </x:c>
      <x:c r="E213" s="40"/>
      <x:c r="F213" s="40"/>
      <x:c r="G213" s="40"/>
      <x:c r="H213" s="40"/>
      <x:c r="I213"/>
      <x:c r="J213" s="17" t="b">
        <x:v>0</x:v>
      </x:c>
    </x:row>
    <x:row r="214">
      <x:c r="A214" t="str">
        <x:v>PPN</x:v>
      </x:c>
      <x:c r="B214" t="str">
        <x:v>Pedunculopontine nucleus</x:v>
      </x:c>
      <x:c r="C214" t="str">
        <x:v>Midbrain</x:v>
      </x:c>
      <x:c r="D214" s="17" t="b">
        <x:v>1</x:v>
      </x:c>
      <x:c r="E214" s="40" t="n">
        <x:v>-0.8</x:v>
      </x:c>
      <x:c r="F214" s="40" t="n">
        <x:v>1</x:v>
      </x:c>
      <x:c r="G214" s="40" t="n">
        <x:v>85.1063829787234</x:v>
      </x:c>
      <x:c r="H214" s="40" t="n">
        <x:v>0.2293722180504122</x:v>
      </x:c>
      <x:c r="I214" t="n">
        <x:v>1</x:v>
      </x:c>
      <x:c r="J214" s="17" t="b">
        <x:v>1</x:v>
      </x:c>
    </x:row>
    <x:row r="215">
      <x:c r="A215" t="str">
        <x:v>PPT</x:v>
      </x:c>
      <x:c r="B215" t="str">
        <x:v>Posterior pretectal nucleus</x:v>
      </x:c>
      <x:c r="C215" t="str">
        <x:v>Midbrain</x:v>
      </x:c>
      <x:c r="D215" s="17" t="b">
        <x:v>1</x:v>
      </x:c>
      <x:c r="E215" s="40" t="n">
        <x:v>-0.11</x:v>
      </x:c>
      <x:c r="F215" s="40" t="n">
        <x:v>1</x:v>
      </x:c>
      <x:c r="G215" s="40" t="n">
        <x:v>48.9361702127659</x:v>
      </x:c>
      <x:c r="H215" s="40" t="n">
        <x:v>0.8452202760162457</x:v>
      </x:c>
      <x:c r="I215" t="n">
        <x:v>1</x:v>
      </x:c>
      <x:c r="J215" s="17" t="b">
        <x:v>1</x:v>
      </x:c>
    </x:row>
    <x:row r="216">
      <x:c r="A216" t="str">
        <x:v>Pa4</x:v>
      </x:c>
      <x:c r="B216" t="str">
        <x:v>Paratrochlear nucleus</x:v>
      </x:c>
      <x:c r="C216" t="str">
        <x:v>Midbrain</x:v>
      </x:c>
      <x:c r="D216" s="17" t="b">
        <x:v>0</x:v>
      </x:c>
      <x:c r="E216" s="40"/>
      <x:c r="F216" s="40"/>
      <x:c r="G216" s="40"/>
      <x:c r="H216" s="40"/>
      <x:c r="I216"/>
      <x:c r="J216" s="17" t="b">
        <x:v>0</x:v>
      </x:c>
    </x:row>
    <x:row r="217">
      <x:c r="A217" t="str">
        <x:v>RL</x:v>
      </x:c>
      <x:c r="B217" t="str">
        <x:v>Rostral linear nucleus raphe</x:v>
      </x:c>
      <x:c r="C217" t="str">
        <x:v>Midbrain</x:v>
      </x:c>
      <x:c r="D217" s="17" t="b">
        <x:v>0</x:v>
      </x:c>
      <x:c r="E217" s="40"/>
      <x:c r="F217" s="40"/>
      <x:c r="G217" s="40"/>
      <x:c r="H217" s="40"/>
      <x:c r="I217"/>
      <x:c r="J217" s="17" t="b">
        <x:v>0</x:v>
      </x:c>
    </x:row>
    <x:row r="218">
      <x:c r="A218" t="str">
        <x:v>RN</x:v>
      </x:c>
      <x:c r="B218" t="str">
        <x:v>Red nucleus</x:v>
      </x:c>
      <x:c r="C218" t="str">
        <x:v>Midbrain</x:v>
      </x:c>
      <x:c r="D218" s="17" t="b">
        <x:v>1</x:v>
      </x:c>
      <x:c r="E218" s="40" t="n">
        <x:v>-0.21</x:v>
      </x:c>
      <x:c r="F218" s="40" t="n">
        <x:v>1</x:v>
      </x:c>
      <x:c r="G218" s="40" t="n">
        <x:v>93.6170212765957</x:v>
      </x:c>
      <x:c r="H218" s="40" t="n">
        <x:v>0.8345299205389972</x:v>
      </x:c>
      <x:c r="I218" t="n">
        <x:v>1</x:v>
      </x:c>
      <x:c r="J218" s="17" t="b">
        <x:v>1</x:v>
      </x:c>
    </x:row>
    <x:row r="219">
      <x:c r="A219" t="str">
        <x:v>RPF</x:v>
      </x:c>
      <x:c r="B219" t="str">
        <x:v>Retroparafascicular nucleus</x:v>
      </x:c>
      <x:c r="C219" t="str">
        <x:v>Midbrain</x:v>
      </x:c>
      <x:c r="D219" s="17" t="b">
        <x:v>1</x:v>
      </x:c>
      <x:c r="E219" s="40" t="n">
        <x:v>-0.3</x:v>
      </x:c>
      <x:c r="F219" s="40" t="n">
        <x:v>1</x:v>
      </x:c>
      <x:c r="G219" s="40"/>
      <x:c r="H219" s="40"/>
      <x:c r="I219"/>
      <x:c r="J219" s="17" t="b">
        <x:v>1</x:v>
      </x:c>
    </x:row>
    <x:row r="220">
      <x:c r="A220" t="str">
        <x:v>RR</x:v>
      </x:c>
      <x:c r="B220" t="str">
        <x:v>Midbrain reticular nucleus retrorubral area</x:v>
      </x:c>
      <x:c r="C220" t="str">
        <x:v>Midbrain</x:v>
      </x:c>
      <x:c r="D220" s="17" t="b">
        <x:v>1</x:v>
      </x:c>
      <x:c r="E220" s="40" t="n">
        <x:v>-0.66</x:v>
      </x:c>
      <x:c r="F220" s="40" t="n">
        <x:v>0</x:v>
      </x:c>
      <x:c r="G220" s="40"/>
      <x:c r="H220" s="40"/>
      <x:c r="I220"/>
      <x:c r="J220" s="17" t="b">
        <x:v>1</x:v>
      </x:c>
    </x:row>
    <x:row r="221">
      <x:c r="A221" t="str">
        <x:v>SAG</x:v>
      </x:c>
      <x:c r="B221" t="str">
        <x:v>Nucleus sagulum</x:v>
      </x:c>
      <x:c r="C221" t="str">
        <x:v>Midbrain</x:v>
      </x:c>
      <x:c r="D221" s="17" t="b">
        <x:v>1</x:v>
      </x:c>
      <x:c r="E221" s="40" t="n">
        <x:v>-0.34</x:v>
      </x:c>
      <x:c r="F221" s="40" t="n">
        <x:v>1</x:v>
      </x:c>
      <x:c r="G221" s="40"/>
      <x:c r="H221" s="40"/>
      <x:c r="I221"/>
      <x:c r="J221" s="17" t="b">
        <x:v>1</x:v>
      </x:c>
    </x:row>
    <x:row r="222">
      <x:c r="A222" t="str">
        <x:v>SCm</x:v>
      </x:c>
      <x:c r="B222" t="str">
        <x:v>Superior colliculus motor related</x:v>
      </x:c>
      <x:c r="C222" t="str">
        <x:v>Midbrain</x:v>
      </x:c>
      <x:c r="D222" s="17" t="b">
        <x:v>1</x:v>
      </x:c>
      <x:c r="E222" s="40" t="n">
        <x:v>-0.33</x:v>
      </x:c>
      <x:c r="F222" s="40" t="n">
        <x:v>1</x:v>
      </x:c>
      <x:c r="G222" s="40" t="n">
        <x:v>78.7234042553191</x:v>
      </x:c>
      <x:c r="H222" s="40" t="n">
        <x:v>0.4534454211207204</x:v>
      </x:c>
      <x:c r="I222" t="n">
        <x:v>1</x:v>
      </x:c>
      <x:c r="J222" s="17" t="b">
        <x:v>1</x:v>
      </x:c>
    </x:row>
    <x:row r="223">
      <x:c r="A223" t="str">
        <x:v>SCs</x:v>
      </x:c>
      <x:c r="B223" t="str">
        <x:v>Superior colliculus sensory related</x:v>
      </x:c>
      <x:c r="C223" t="str">
        <x:v>Midbrain</x:v>
      </x:c>
      <x:c r="D223" s="17" t="b">
        <x:v>1</x:v>
      </x:c>
      <x:c r="E223" s="40" t="n">
        <x:v>-0.6</x:v>
      </x:c>
      <x:c r="F223" s="40" t="n">
        <x:v>1</x:v>
      </x:c>
      <x:c r="G223" s="40"/>
      <x:c r="H223" s="40"/>
      <x:c r="I223"/>
      <x:c r="J223" s="17" t="b">
        <x:v>1</x:v>
      </x:c>
    </x:row>
    <x:row r="224">
      <x:c r="A224" t="str">
        <x:v>SNc</x:v>
      </x:c>
      <x:c r="B224" t="str">
        <x:v>Substantia nigra compact part</x:v>
      </x:c>
      <x:c r="C224" t="str">
        <x:v>Midbrain</x:v>
      </x:c>
      <x:c r="D224" s="17" t="b">
        <x:v>1</x:v>
      </x:c>
      <x:c r="E224" s="40" t="n">
        <x:v>-0.15</x:v>
      </x:c>
      <x:c r="F224" s="40" t="n">
        <x:v>1</x:v>
      </x:c>
      <x:c r="G224" s="40"/>
      <x:c r="H224" s="40"/>
      <x:c r="I224"/>
      <x:c r="J224" s="17" t="b">
        <x:v>1</x:v>
      </x:c>
    </x:row>
    <x:row r="225">
      <x:c r="A225" t="str">
        <x:v>SNr</x:v>
      </x:c>
      <x:c r="B225" t="str">
        <x:v>Substantia nigra reticular part</x:v>
      </x:c>
      <x:c r="C225" t="str">
        <x:v>Midbrain</x:v>
      </x:c>
      <x:c r="D225" s="17" t="b">
        <x:v>1</x:v>
      </x:c>
      <x:c r="E225" s="40" t="n">
        <x:v>0.01</x:v>
      </x:c>
      <x:c r="F225" s="40" t="n">
        <x:v>1</x:v>
      </x:c>
      <x:c r="G225" s="40"/>
      <x:c r="H225" s="40"/>
      <x:c r="I225"/>
      <x:c r="J225" s="17" t="b">
        <x:v>1</x:v>
      </x:c>
    </x:row>
    <x:row r="226">
      <x:c r="A226" t="str">
        <x:v>VTA</x:v>
      </x:c>
      <x:c r="B226" t="str">
        <x:v>Ventral tegmental area</x:v>
      </x:c>
      <x:c r="C226" t="str">
        <x:v>Midbrain</x:v>
      </x:c>
      <x:c r="D226" s="17" t="b">
        <x:v>0</x:v>
      </x:c>
      <x:c r="E226" s="40"/>
      <x:c r="F226" s="40"/>
      <x:c r="G226" s="40"/>
      <x:c r="H226" s="40"/>
      <x:c r="I226"/>
      <x:c r="J226" s="17" t="b">
        <x:v>0</x:v>
      </x:c>
    </x:row>
    <x:row r="227">
      <x:c r="A227" t="str">
        <x:v>VTN</x:v>
      </x:c>
      <x:c r="B227" t="str">
        <x:v>Ventral tegmental nucleus</x:v>
      </x:c>
      <x:c r="C227" t="str">
        <x:v>Midbrain</x:v>
      </x:c>
      <x:c r="D227" s="17" t="b">
        <x:v>0</x:v>
      </x:c>
      <x:c r="E227" s="40"/>
      <x:c r="F227" s="40"/>
      <x:c r="G227" s="40"/>
      <x:c r="H227" s="40"/>
      <x:c r="I227"/>
      <x:c r="J227" s="17" t="b">
        <x:v>0</x:v>
      </x:c>
    </x:row>
    <x:row r="228">
      <x:c r="A228" t="str">
        <x:v>AOB</x:v>
      </x:c>
      <x:c r="B228" t="str">
        <x:v>Accessory olfactory bulb</x:v>
      </x:c>
      <x:c r="C228" t="str">
        <x:v>Olfactory areas</x:v>
      </x:c>
      <x:c r="D228" s="17" t="b">
        <x:v>0</x:v>
      </x:c>
      <x:c r="E228" s="40"/>
      <x:c r="F228" s="40"/>
      <x:c r="G228" s="40"/>
      <x:c r="H228" s="40"/>
      <x:c r="I228"/>
      <x:c r="J228" s="17" t="b">
        <x:v>0</x:v>
      </x:c>
    </x:row>
    <x:row r="229">
      <x:c r="A229" t="str">
        <x:v>AON</x:v>
      </x:c>
      <x:c r="B229" t="str">
        <x:v>Anterior olfactory nucleus</x:v>
      </x:c>
      <x:c r="C229" t="str">
        <x:v>Olfactory areas</x:v>
      </x:c>
      <x:c r="D229" s="17" t="b">
        <x:v>1</x:v>
      </x:c>
      <x:c r="E229" s="40" t="n">
        <x:v>-1.09</x:v>
      </x:c>
      <x:c r="F229" s="40" t="n">
        <x:v>1</x:v>
      </x:c>
      <x:c r="G229" s="40" t="n">
        <x:v>93.6170212765957</x:v>
      </x:c>
      <x:c r="H229" s="40" t="n">
        <x:v>0.0999169348983166</x:v>
      </x:c>
      <x:c r="I229" t="n">
        <x:v>1</x:v>
      </x:c>
      <x:c r="J229" s="17" t="b">
        <x:v>1</x:v>
      </x:c>
    </x:row>
    <x:row r="230">
      <x:c r="A230" t="str">
        <x:v>COAa</x:v>
      </x:c>
      <x:c r="B230" t="str">
        <x:v>Cortical amygdalar area anterior part</x:v>
      </x:c>
      <x:c r="C230" t="str">
        <x:v>Olfactory areas</x:v>
      </x:c>
      <x:c r="D230" s="17" t="b">
        <x:v>0</x:v>
      </x:c>
      <x:c r="E230" s="40"/>
      <x:c r="F230" s="40"/>
      <x:c r="G230" s="40"/>
      <x:c r="H230" s="40"/>
      <x:c r="I230"/>
      <x:c r="J230" s="17" t="b">
        <x:v>0</x:v>
      </x:c>
    </x:row>
    <x:row r="231">
      <x:c r="A231" t="str">
        <x:v>COAp</x:v>
      </x:c>
      <x:c r="B231" t="str">
        <x:v>Cortical amygdalar area posterior part</x:v>
      </x:c>
      <x:c r="C231" t="str">
        <x:v>Olfactory areas</x:v>
      </x:c>
      <x:c r="D231" s="17" t="b">
        <x:v>1</x:v>
      </x:c>
      <x:c r="E231" s="40" t="n">
        <x:v>-1.04</x:v>
      </x:c>
      <x:c r="F231" s="40" t="n">
        <x:v>0</x:v>
      </x:c>
      <x:c r="G231" s="40" t="n">
        <x:v>36.1702127659574</x:v>
      </x:c>
      <x:c r="H231" s="40" t="n">
        <x:v>0.0912183636639707</x:v>
      </x:c>
      <x:c r="I231" t="n">
        <x:v>0</x:v>
      </x:c>
      <x:c r="J231" s="17" t="b">
        <x:v>1</x:v>
      </x:c>
    </x:row>
    <x:row r="232">
      <x:c r="A232" t="str">
        <x:v>DP</x:v>
      </x:c>
      <x:c r="B232" t="str">
        <x:v>Dorsal peduncular area</x:v>
      </x:c>
      <x:c r="C232" t="str">
        <x:v>Olfactory areas</x:v>
      </x:c>
      <x:c r="D232" s="17" t="b">
        <x:v>1</x:v>
      </x:c>
      <x:c r="E232" s="40" t="n">
        <x:v>-1.17</x:v>
      </x:c>
      <x:c r="F232" s="40" t="n">
        <x:v>0</x:v>
      </x:c>
      <x:c r="G232" s="40" t="n">
        <x:v>27.6595744680851</x:v>
      </x:c>
      <x:c r="H232" s="40" t="n">
        <x:v>0.0702284630887083</x:v>
      </x:c>
      <x:c r="I232" t="n">
        <x:v>0</x:v>
      </x:c>
      <x:c r="J232" s="17" t="b">
        <x:v>1</x:v>
      </x:c>
    </x:row>
    <x:row r="233">
      <x:c r="A233" t="str">
        <x:v>MOB</x:v>
      </x:c>
      <x:c r="B233" t="str">
        <x:v>Main olfactory bulb</x:v>
      </x:c>
      <x:c r="C233" t="str">
        <x:v>Olfactory areas</x:v>
      </x:c>
      <x:c r="D233" s="17" t="b">
        <x:v>1</x:v>
      </x:c>
      <x:c r="E233" s="40" t="n">
        <x:v>-1.09</x:v>
      </x:c>
      <x:c r="F233" s="40" t="n">
        <x:v>0</x:v>
      </x:c>
      <x:c r="G233" s="40"/>
      <x:c r="H233" s="40"/>
      <x:c r="I233"/>
      <x:c r="J233" s="17" t="b">
        <x:v>1</x:v>
      </x:c>
    </x:row>
    <x:row r="234">
      <x:c r="A234" t="str">
        <x:v>PAA</x:v>
      </x:c>
      <x:c r="B234" t="str">
        <x:v>Piriform-amygdalar area</x:v>
      </x:c>
      <x:c r="C234" t="str">
        <x:v>Olfactory areas</x:v>
      </x:c>
      <x:c r="D234" s="17" t="b">
        <x:v>1</x:v>
      </x:c>
      <x:c r="E234" s="40" t="n">
        <x:v>-1.1</x:v>
      </x:c>
      <x:c r="F234" s="40" t="n">
        <x:v>0</x:v>
      </x:c>
      <x:c r="G234" s="40"/>
      <x:c r="H234" s="40"/>
      <x:c r="I234"/>
      <x:c r="J234" s="17" t="b">
        <x:v>1</x:v>
      </x:c>
    </x:row>
    <x:row r="235">
      <x:c r="A235" t="str">
        <x:v>PIR</x:v>
      </x:c>
      <x:c r="B235" t="str">
        <x:v>Piriform area</x:v>
      </x:c>
      <x:c r="C235" t="str">
        <x:v>Olfactory areas</x:v>
      </x:c>
      <x:c r="D235" s="17" t="b">
        <x:v>1</x:v>
      </x:c>
      <x:c r="E235" s="40" t="n">
        <x:v>-1.37</x:v>
      </x:c>
      <x:c r="F235" s="40" t="n">
        <x:v>0</x:v>
      </x:c>
      <x:c r="G235" s="40" t="n">
        <x:v>29.7872340425531</x:v>
      </x:c>
      <x:c r="H235" s="40" t="n">
        <x:v>0.0395601558728322</x:v>
      </x:c>
      <x:c r="I235" t="n">
        <x:v>0</x:v>
      </x:c>
      <x:c r="J235" s="17" t="b">
        <x:v>1</x:v>
      </x:c>
    </x:row>
    <x:row r="236">
      <x:c r="A236" t="str">
        <x:v>TR</x:v>
      </x:c>
      <x:c r="B236" t="str">
        <x:v>Postpiriform transition area</x:v>
      </x:c>
      <x:c r="C236" t="str">
        <x:v>Olfactory areas</x:v>
      </x:c>
      <x:c r="D236" s="17" t="b">
        <x:v>1</x:v>
      </x:c>
      <x:c r="E236" s="40" t="n">
        <x:v>-0.93</x:v>
      </x:c>
      <x:c r="F236" s="40" t="n">
        <x:v>0</x:v>
      </x:c>
      <x:c r="G236" s="40"/>
      <x:c r="H236" s="40"/>
      <x:c r="I236"/>
      <x:c r="J236" s="17" t="b">
        <x:v>1</x:v>
      </x:c>
    </x:row>
    <x:row r="237">
      <x:c r="A237" t="str">
        <x:v>TTd</x:v>
      </x:c>
      <x:c r="B237" t="str">
        <x:v>Taenia tecta dorsal part</x:v>
      </x:c>
      <x:c r="C237" t="str">
        <x:v>Olfactory areas</x:v>
      </x:c>
      <x:c r="D237" s="17" t="b">
        <x:v>1</x:v>
      </x:c>
      <x:c r="E237" s="40" t="n">
        <x:v>-1.17</x:v>
      </x:c>
      <x:c r="F237" s="40" t="n">
        <x:v>0</x:v>
      </x:c>
      <x:c r="G237" s="40" t="n">
        <x:v>2.1276595744680002</x:v>
      </x:c>
      <x:c r="H237" s="40" t="n">
        <x:v>0.0638111910051753</x:v>
      </x:c>
      <x:c r="I237" t="n">
        <x:v>0</x:v>
      </x:c>
      <x:c r="J237" s="17" t="b">
        <x:v>1</x:v>
      </x:c>
    </x:row>
    <x:row r="238">
      <x:c r="A238" t="str">
        <x:v>TTv</x:v>
      </x:c>
      <x:c r="B238" t="str">
        <x:v>Taenia tecta ventral part</x:v>
      </x:c>
      <x:c r="C238" t="str">
        <x:v>Olfactory areas</x:v>
      </x:c>
      <x:c r="D238" s="17" t="b">
        <x:v>0</x:v>
      </x:c>
      <x:c r="E238" s="40"/>
      <x:c r="F238" s="40"/>
      <x:c r="G238" s="40"/>
      <x:c r="H238" s="40"/>
      <x:c r="I238"/>
      <x:c r="J238" s="17" t="b">
        <x:v>0</x:v>
      </x:c>
    </x:row>
    <x:row r="239">
      <x:c r="A239" t="str">
        <x:v>AD</x:v>
      </x:c>
      <x:c r="B239" t="str">
        <x:v>Anterodorsal nucleus</x:v>
      </x:c>
      <x:c r="C239" t="str">
        <x:v>Thalamus</x:v>
      </x:c>
      <x:c r="D239" s="17" t="b">
        <x:v>1</x:v>
      </x:c>
      <x:c r="E239" s="40"/>
      <x:c r="F239" s="40"/>
      <x:c r="G239" s="40"/>
      <x:c r="H239" s="40"/>
      <x:c r="I239"/>
      <x:c r="J239" s="17" t="b">
        <x:v>0</x:v>
      </x:c>
    </x:row>
    <x:row r="240">
      <x:c r="A240" t="str">
        <x:v>AM</x:v>
      </x:c>
      <x:c r="B240" t="str">
        <x:v>Anteromedial nucleus</x:v>
      </x:c>
      <x:c r="C240" t="str">
        <x:v>Thalamus</x:v>
      </x:c>
      <x:c r="D240" s="17" t="b">
        <x:v>1</x:v>
      </x:c>
      <x:c r="E240" s="40" t="n">
        <x:v>-0.98</x:v>
      </x:c>
      <x:c r="F240" s="40" t="n">
        <x:v>0</x:v>
      </x:c>
      <x:c r="G240" s="40" t="n">
        <x:v>65.9574468085106</x:v>
      </x:c>
      <x:c r="H240" s="40" t="n">
        <x:v>0.1013570763641293</x:v>
      </x:c>
      <x:c r="I240" t="n">
        <x:v>0</x:v>
      </x:c>
      <x:c r="J240" s="17" t="b">
        <x:v>1</x:v>
      </x:c>
    </x:row>
    <x:row r="241">
      <x:c r="A241" t="str">
        <x:v>AV</x:v>
      </x:c>
      <x:c r="B241" t="str">
        <x:v>Anteroventral nucleus of thalamus</x:v>
      </x:c>
      <x:c r="C241" t="str">
        <x:v>Thalamus</x:v>
      </x:c>
      <x:c r="D241" s="17" t="b">
        <x:v>1</x:v>
      </x:c>
      <x:c r="E241" s="40" t="n">
        <x:v>-0.8</x:v>
      </x:c>
      <x:c r="F241" s="40" t="n">
        <x:v>1</x:v>
      </x:c>
      <x:c r="G241" s="40" t="n">
        <x:v>27.6595744680851</x:v>
      </x:c>
      <x:c r="H241" s="40" t="n">
        <x:v>0.1236446712172623</x:v>
      </x:c>
      <x:c r="I241" t="n">
        <x:v>1</x:v>
      </x:c>
      <x:c r="J241" s="17" t="b">
        <x:v>1</x:v>
      </x:c>
    </x:row>
    <x:row r="242">
      <x:c r="A242" t="str">
        <x:v>CL</x:v>
      </x:c>
      <x:c r="B242" t="str">
        <x:v>Central lateral nucleus of the thalamus</x:v>
      </x:c>
      <x:c r="C242" t="str">
        <x:v>Thalamus</x:v>
      </x:c>
      <x:c r="D242" s="17" t="b">
        <x:v>1</x:v>
      </x:c>
      <x:c r="E242" s="40" t="n">
        <x:v>0.02</x:v>
      </x:c>
      <x:c r="F242" s="40" t="n">
        <x:v>1</x:v>
      </x:c>
      <x:c r="G242" s="40"/>
      <x:c r="H242" s="40"/>
      <x:c r="I242"/>
      <x:c r="J242" s="17" t="b">
        <x:v>1</x:v>
      </x:c>
    </x:row>
    <x:row r="243">
      <x:c r="A243" t="str">
        <x:v>CM</x:v>
      </x:c>
      <x:c r="B243" t="str">
        <x:v>Central medial nucleus of the thalamus</x:v>
      </x:c>
      <x:c r="C243" t="str">
        <x:v>Thalamus</x:v>
      </x:c>
      <x:c r="D243" s="17" t="b">
        <x:v>1</x:v>
      </x:c>
      <x:c r="E243" s="40" t="n">
        <x:v>-0.65</x:v>
      </x:c>
      <x:c r="F243" s="40" t="n">
        <x:v>0</x:v>
      </x:c>
      <x:c r="G243" s="40"/>
      <x:c r="H243" s="40"/>
      <x:c r="I243"/>
      <x:c r="J243" s="17" t="b">
        <x:v>1</x:v>
      </x:c>
    </x:row>
    <x:row r="244">
      <x:c r="A244" t="str">
        <x:v>Eth</x:v>
      </x:c>
      <x:c r="B244" t="str">
        <x:v>Ethmoid nucleus of the thalamus</x:v>
      </x:c>
      <x:c r="C244" t="str">
        <x:v>Thalamus</x:v>
      </x:c>
      <x:c r="D244" s="17" t="b">
        <x:v>1</x:v>
      </x:c>
      <x:c r="E244" s="40" t="n">
        <x:v>-0.96</x:v>
      </x:c>
      <x:c r="F244" s="40" t="n">
        <x:v>1</x:v>
      </x:c>
      <x:c r="G244" s="40" t="n">
        <x:v>55.3191489361702</x:v>
      </x:c>
      <x:c r="H244" s="40" t="n">
        <x:v>0.1339108341671335</x:v>
      </x:c>
      <x:c r="I244" t="n">
        <x:v>1</x:v>
      </x:c>
      <x:c r="J244" s="17" t="b">
        <x:v>1</x:v>
      </x:c>
    </x:row>
    <x:row r="245">
      <x:c r="A245" t="str">
        <x:v>IAD</x:v>
      </x:c>
      <x:c r="B245" t="str">
        <x:v>Interanterodorsal nucleus of the thalamus</x:v>
      </x:c>
      <x:c r="C245" t="str">
        <x:v>Thalamus</x:v>
      </x:c>
      <x:c r="D245" s="17" t="b">
        <x:v>1</x:v>
      </x:c>
      <x:c r="E245" s="40" t="n">
        <x:v>-0.81</x:v>
      </x:c>
      <x:c r="F245" s="40" t="n">
        <x:v>0</x:v>
      </x:c>
      <x:c r="G245" s="40"/>
      <x:c r="H245" s="40"/>
      <x:c r="I245"/>
      <x:c r="J245" s="17" t="b">
        <x:v>1</x:v>
      </x:c>
    </x:row>
    <x:row r="246">
      <x:c r="A246" t="str">
        <x:v>IAM</x:v>
      </x:c>
      <x:c r="B246" t="str">
        <x:v>Interanteromedial nucleus of the thalamus</x:v>
      </x:c>
      <x:c r="C246" t="str">
        <x:v>Thalamus</x:v>
      </x:c>
      <x:c r="D246" s="17" t="b">
        <x:v>0</x:v>
      </x:c>
      <x:c r="E246" s="40"/>
      <x:c r="F246" s="40"/>
      <x:c r="G246" s="40"/>
      <x:c r="H246" s="40"/>
      <x:c r="I246"/>
      <x:c r="J246" s="17" t="b">
        <x:v>0</x:v>
      </x:c>
    </x:row>
    <x:row r="247">
      <x:c r="A247" t="str">
        <x:v>IGL</x:v>
      </x:c>
      <x:c r="B247" t="str">
        <x:v>Intergeniculate leaflet of the lateral geniculate complex</x:v>
      </x:c>
      <x:c r="C247" t="str">
        <x:v>Thalamus</x:v>
      </x:c>
      <x:c r="D247" s="17" t="b">
        <x:v>1</x:v>
      </x:c>
      <x:c r="E247" s="40"/>
      <x:c r="F247" s="40"/>
      <x:c r="G247" s="40"/>
      <x:c r="H247" s="40"/>
      <x:c r="I247"/>
      <x:c r="J247" s="17" t="b">
        <x:v>0</x:v>
      </x:c>
    </x:row>
    <x:row r="248">
      <x:c r="A248" t="str">
        <x:v>IMD</x:v>
      </x:c>
      <x:c r="B248" t="str">
        <x:v>Intermediodorsal nucleus of the thalamus</x:v>
      </x:c>
      <x:c r="C248" t="str">
        <x:v>Thalamus</x:v>
      </x:c>
      <x:c r="D248" s="17" t="b">
        <x:v>0</x:v>
      </x:c>
      <x:c r="E248" s="40"/>
      <x:c r="F248" s="40"/>
      <x:c r="G248" s="40"/>
      <x:c r="H248" s="40"/>
      <x:c r="I248"/>
      <x:c r="J248" s="17" t="b">
        <x:v>0</x:v>
      </x:c>
    </x:row>
    <x:row r="249">
      <x:c r="A249" t="str">
        <x:v>IntG</x:v>
      </x:c>
      <x:c r="B249" t="str">
        <x:v>Intermediate geniculate nucleus</x:v>
      </x:c>
      <x:c r="C249" t="str">
        <x:v>Thalamus</x:v>
      </x:c>
      <x:c r="D249" s="17" t="b">
        <x:v>0</x:v>
      </x:c>
      <x:c r="E249" s="40"/>
      <x:c r="F249" s="40"/>
      <x:c r="G249" s="40"/>
      <x:c r="H249" s="40"/>
      <x:c r="I249"/>
      <x:c r="J249" s="17" t="b">
        <x:v>0</x:v>
      </x:c>
    </x:row>
    <x:row r="250">
      <x:c r="A250" t="str">
        <x:v>LD</x:v>
      </x:c>
      <x:c r="B250" t="str">
        <x:v>Lateral dorsal nucleus of thalamus</x:v>
      </x:c>
      <x:c r="C250" t="str">
        <x:v>Thalamus</x:v>
      </x:c>
      <x:c r="D250" s="17" t="b">
        <x:v>1</x:v>
      </x:c>
      <x:c r="E250" s="40" t="n">
        <x:v>-0.77</x:v>
      </x:c>
      <x:c r="F250" s="40" t="n">
        <x:v>1</x:v>
      </x:c>
      <x:c r="G250" s="40" t="n">
        <x:v>46.808510638297804</x:v>
      </x:c>
      <x:c r="H250" s="40" t="n">
        <x:v>0.1020333838180492</x:v>
      </x:c>
      <x:c r="I250" t="n">
        <x:v>1</x:v>
      </x:c>
      <x:c r="J250" s="17" t="b">
        <x:v>1</x:v>
      </x:c>
    </x:row>
    <x:row r="251">
      <x:c r="A251" t="str">
        <x:v>LGd</x:v>
      </x:c>
      <x:c r="B251" t="str">
        <x:v>Dorsal part of the lateral geniculate complex</x:v>
      </x:c>
      <x:c r="C251" t="str">
        <x:v>Thalamus</x:v>
      </x:c>
      <x:c r="D251" s="17" t="b">
        <x:v>1</x:v>
      </x:c>
      <x:c r="E251" s="40" t="n">
        <x:v>-0.4</x:v>
      </x:c>
      <x:c r="F251" s="40" t="n">
        <x:v>1</x:v>
      </x:c>
      <x:c r="G251" s="40" t="n">
        <x:v>34.0425531914893</x:v>
      </x:c>
      <x:c r="H251" s="40" t="n">
        <x:v>0.4353501142262745</x:v>
      </x:c>
      <x:c r="I251" t="n">
        <x:v>1</x:v>
      </x:c>
      <x:c r="J251" s="17" t="b">
        <x:v>1</x:v>
      </x:c>
    </x:row>
    <x:row r="252">
      <x:c r="A252" t="str">
        <x:v>LGv</x:v>
      </x:c>
      <x:c r="B252" t="str">
        <x:v>Ventral part of the lateral geniculate complex</x:v>
      </x:c>
      <x:c r="C252" t="str">
        <x:v>Thalamus</x:v>
      </x:c>
      <x:c r="D252" s="17" t="b">
        <x:v>1</x:v>
      </x:c>
      <x:c r="E252" s="40" t="n">
        <x:v>-0.72</x:v>
      </x:c>
      <x:c r="F252" s="40" t="n">
        <x:v>0</x:v>
      </x:c>
      <x:c r="G252" s="40" t="n">
        <x:v>42.5531914893617</x:v>
      </x:c>
      <x:c r="H252" s="40" t="n">
        <x:v>0.2686216006459986</x:v>
      </x:c>
      <x:c r="I252" t="n">
        <x:v>0</x:v>
      </x:c>
      <x:c r="J252" s="17" t="b">
        <x:v>1</x:v>
      </x:c>
    </x:row>
    <x:row r="253">
      <x:c r="A253" t="str">
        <x:v>LH</x:v>
      </x:c>
      <x:c r="B253" t="str">
        <x:v>Lateral habenula</x:v>
      </x:c>
      <x:c r="C253" t="str">
        <x:v>Thalamus</x:v>
      </x:c>
      <x:c r="D253" s="17" t="b">
        <x:v>1</x:v>
      </x:c>
      <x:c r="E253" s="40" t="n">
        <x:v>-0.76</x:v>
      </x:c>
      <x:c r="F253" s="40" t="n">
        <x:v>0</x:v>
      </x:c>
      <x:c r="G253" s="40"/>
      <x:c r="H253" s="40"/>
      <x:c r="I253"/>
      <x:c r="J253" s="17" t="b">
        <x:v>1</x:v>
      </x:c>
    </x:row>
    <x:row r="254">
      <x:c r="A254" t="str">
        <x:v>LP</x:v>
      </x:c>
      <x:c r="B254" t="str">
        <x:v>Lateral posterior nucleus of the thalamus</x:v>
      </x:c>
      <x:c r="C254" t="str">
        <x:v>Thalamus</x:v>
      </x:c>
      <x:c r="D254" s="17" t="b">
        <x:v>1</x:v>
      </x:c>
      <x:c r="E254" s="40" t="n">
        <x:v>-0.74</x:v>
      </x:c>
      <x:c r="F254" s="40" t="n">
        <x:v>1</x:v>
      </x:c>
      <x:c r="G254" s="40" t="n">
        <x:v>46.808510638297804</x:v>
      </x:c>
      <x:c r="H254" s="40" t="n">
        <x:v>0.1610459012169445</x:v>
      </x:c>
      <x:c r="I254" t="n">
        <x:v>1</x:v>
      </x:c>
      <x:c r="J254" s="17" t="b">
        <x:v>1</x:v>
      </x:c>
    </x:row>
    <x:row r="255">
      <x:c r="A255" t="str">
        <x:v>MD</x:v>
      </x:c>
      <x:c r="B255" t="str">
        <x:v>Mediodorsal nucleus of thalamus</x:v>
      </x:c>
      <x:c r="C255" t="str">
        <x:v>Thalamus</x:v>
      </x:c>
      <x:c r="D255" s="17" t="b">
        <x:v>1</x:v>
      </x:c>
      <x:c r="E255" s="40" t="n">
        <x:v>-0.91</x:v>
      </x:c>
      <x:c r="F255" s="40" t="n">
        <x:v>1</x:v>
      </x:c>
      <x:c r="G255" s="40" t="n">
        <x:v>48.9361702127659</x:v>
      </x:c>
      <x:c r="H255" s="40" t="n">
        <x:v>0.087797162065361</x:v>
      </x:c>
      <x:c r="I255" t="n">
        <x:v>1</x:v>
      </x:c>
      <x:c r="J255" s="17" t="b">
        <x:v>1</x:v>
      </x:c>
    </x:row>
    <x:row r="256">
      <x:c r="A256" t="str">
        <x:v>MG</x:v>
      </x:c>
      <x:c r="B256" t="str">
        <x:v>Medial geniculate complex</x:v>
      </x:c>
      <x:c r="C256" t="str">
        <x:v>Thalamus</x:v>
      </x:c>
      <x:c r="D256" s="17" t="b">
        <x:v>1</x:v>
      </x:c>
      <x:c r="E256" s="40" t="n">
        <x:v>-0.93</x:v>
      </x:c>
      <x:c r="F256" s="40" t="n">
        <x:v>1</x:v>
      </x:c>
      <x:c r="G256" s="40" t="n">
        <x:v>42.5531914893617</x:v>
      </x:c>
      <x:c r="H256" s="40" t="n">
        <x:v>0.1431734308647678</x:v>
      </x:c>
      <x:c r="I256" t="n">
        <x:v>0</x:v>
      </x:c>
      <x:c r="J256" s="17" t="b">
        <x:v>1</x:v>
      </x:c>
    </x:row>
    <x:row r="257">
      <x:c r="A257" t="str">
        <x:v>MH</x:v>
      </x:c>
      <x:c r="B257" t="str">
        <x:v>Medial habenula</x:v>
      </x:c>
      <x:c r="C257" t="str">
        <x:v>Thalamus</x:v>
      </x:c>
      <x:c r="D257" s="17" t="b">
        <x:v>1</x:v>
      </x:c>
      <x:c r="E257" s="40" t="n">
        <x:v>-0.82</x:v>
      </x:c>
      <x:c r="F257" s="40" t="n">
        <x:v>0</x:v>
      </x:c>
      <x:c r="G257" s="40"/>
      <x:c r="H257" s="40"/>
      <x:c r="I257"/>
      <x:c r="J257" s="17" t="b">
        <x:v>1</x:v>
      </x:c>
    </x:row>
    <x:row r="258">
      <x:c r="A258" t="str">
        <x:v>PCN</x:v>
      </x:c>
      <x:c r="B258" t="str">
        <x:v>Paracentral nucleus</x:v>
      </x:c>
      <x:c r="C258" t="str">
        <x:v>Thalamus</x:v>
      </x:c>
      <x:c r="D258" s="17" t="b">
        <x:v>1</x:v>
      </x:c>
      <x:c r="E258" s="40" t="n">
        <x:v>-0.97</x:v>
      </x:c>
      <x:c r="F258" s="40" t="n">
        <x:v>0</x:v>
      </x:c>
      <x:c r="G258" s="40" t="n">
        <x:v>51.063829787234</x:v>
      </x:c>
      <x:c r="H258" s="40" t="n">
        <x:v>0.2195795611713636</x:v>
      </x:c>
      <x:c r="I258" t="n">
        <x:v>1</x:v>
      </x:c>
      <x:c r="J258" s="17" t="b">
        <x:v>1</x:v>
      </x:c>
    </x:row>
    <x:row r="259">
      <x:c r="A259" t="str">
        <x:v>PF</x:v>
      </x:c>
      <x:c r="B259" t="str">
        <x:v>Parafascicular nucleus</x:v>
      </x:c>
      <x:c r="C259" t="str">
        <x:v>Thalamus</x:v>
      </x:c>
      <x:c r="D259" s="17" t="b">
        <x:v>1</x:v>
      </x:c>
      <x:c r="E259" s="40" t="n">
        <x:v>0</x:v>
      </x:c>
      <x:c r="F259" s="40" t="n">
        <x:v>1</x:v>
      </x:c>
      <x:c r="G259" s="40" t="n">
        <x:v>40.4255319148936</x:v>
      </x:c>
      <x:c r="H259" s="40" t="n">
        <x:v>0.9548536300767264</x:v>
      </x:c>
      <x:c r="I259" t="n">
        <x:v>1</x:v>
      </x:c>
      <x:c r="J259" s="17" t="b">
        <x:v>1</x:v>
      </x:c>
    </x:row>
    <x:row r="260">
      <x:c r="A260" t="str">
        <x:v>PIL</x:v>
      </x:c>
      <x:c r="B260" t="str">
        <x:v>Posterior intralaminar thalamic nucleus</x:v>
      </x:c>
      <x:c r="C260" t="str">
        <x:v>Thalamus</x:v>
      </x:c>
      <x:c r="D260" s="17" t="b">
        <x:v>0</x:v>
      </x:c>
      <x:c r="E260" s="40"/>
      <x:c r="F260" s="40"/>
      <x:c r="G260" s="40"/>
      <x:c r="H260" s="40"/>
      <x:c r="I260"/>
      <x:c r="J260" s="17" t="b">
        <x:v>0</x:v>
      </x:c>
    </x:row>
    <x:row r="261">
      <x:c r="A261" t="str">
        <x:v>PO</x:v>
      </x:c>
      <x:c r="B261" t="str">
        <x:v>Posterior complex of the thalamus</x:v>
      </x:c>
      <x:c r="C261" t="str">
        <x:v>Thalamus</x:v>
      </x:c>
      <x:c r="D261" s="17" t="b">
        <x:v>1</x:v>
      </x:c>
      <x:c r="E261" s="40" t="n">
        <x:v>-1.27</x:v>
      </x:c>
      <x:c r="F261" s="40" t="n">
        <x:v>0</x:v>
      </x:c>
      <x:c r="G261" s="40" t="n">
        <x:v>89.3617021276595</x:v>
      </x:c>
      <x:c r="H261" s="40" t="n">
        <x:v>0.0710173346566692</x:v>
      </x:c>
      <x:c r="I261" t="n">
        <x:v>1</x:v>
      </x:c>
      <x:c r="J261" s="17" t="b">
        <x:v>1</x:v>
      </x:c>
    </x:row>
    <x:row r="262">
      <x:c r="A262" t="str">
        <x:v>POL</x:v>
      </x:c>
      <x:c r="B262" t="str">
        <x:v>Posterior limiting nucleus of the thalamus</x:v>
      </x:c>
      <x:c r="C262" t="str">
        <x:v>Thalamus</x:v>
      </x:c>
      <x:c r="D262" s="17" t="b">
        <x:v>1</x:v>
      </x:c>
      <x:c r="E262" s="40" t="n">
        <x:v>-0.64</x:v>
      </x:c>
      <x:c r="F262" s="40" t="n">
        <x:v>0</x:v>
      </x:c>
      <x:c r="G262" s="40" t="n">
        <x:v>17.021276595744602</x:v>
      </x:c>
      <x:c r="H262" s="40" t="n">
        <x:v>0.2174730534269766</x:v>
      </x:c>
      <x:c r="I262" t="n">
        <x:v>1</x:v>
      </x:c>
      <x:c r="J262" s="17" t="b">
        <x:v>1</x:v>
      </x:c>
    </x:row>
    <x:row r="263">
      <x:c r="A263" t="str">
        <x:v>PP</x:v>
      </x:c>
      <x:c r="B263" t="str">
        <x:v>Peripeduncular nucleus</x:v>
      </x:c>
      <x:c r="C263" t="str">
        <x:v>Thalamus</x:v>
      </x:c>
      <x:c r="D263" s="17" t="b">
        <x:v>0</x:v>
      </x:c>
      <x:c r="E263" s="40"/>
      <x:c r="F263" s="40"/>
      <x:c r="G263" s="40"/>
      <x:c r="H263" s="40"/>
      <x:c r="I263"/>
      <x:c r="J263" s="17" t="b">
        <x:v>0</x:v>
      </x:c>
    </x:row>
    <x:row r="264">
      <x:c r="A264" t="str">
        <x:v>PR</x:v>
      </x:c>
      <x:c r="B264" t="str">
        <x:v>Perireunensis nucleus</x:v>
      </x:c>
      <x:c r="C264" t="str">
        <x:v>Thalamus</x:v>
      </x:c>
      <x:c r="D264" s="17" t="b">
        <x:v>1</x:v>
      </x:c>
      <x:c r="E264" s="40" t="n">
        <x:v>-0.56</x:v>
      </x:c>
      <x:c r="F264" s="40" t="n">
        <x:v>0</x:v>
      </x:c>
      <x:c r="G264" s="40"/>
      <x:c r="H264" s="40"/>
      <x:c r="I264"/>
      <x:c r="J264" s="17" t="b">
        <x:v>1</x:v>
      </x:c>
    </x:row>
    <x:row r="265">
      <x:c r="A265" t="str">
        <x:v>PT</x:v>
      </x:c>
      <x:c r="B265" t="str">
        <x:v>Parataenial nucleus</x:v>
      </x:c>
      <x:c r="C265" t="str">
        <x:v>Thalamus</x:v>
      </x:c>
      <x:c r="D265" s="17" t="b">
        <x:v>0</x:v>
      </x:c>
      <x:c r="E265" s="40"/>
      <x:c r="F265" s="40"/>
      <x:c r="G265" s="40"/>
      <x:c r="H265" s="40"/>
      <x:c r="I265"/>
      <x:c r="J265" s="17" t="b">
        <x:v>0</x:v>
      </x:c>
    </x:row>
    <x:row r="266">
      <x:c r="A266" t="str">
        <x:v>PVT</x:v>
      </x:c>
      <x:c r="B266" t="str">
        <x:v>Paraventricular nucleus of the thalamus</x:v>
      </x:c>
      <x:c r="C266" t="str">
        <x:v>Thalamus</x:v>
      </x:c>
      <x:c r="D266" s="17" t="b">
        <x:v>1</x:v>
      </x:c>
      <x:c r="E266" s="40" t="n">
        <x:v>-0.98</x:v>
      </x:c>
      <x:c r="F266" s="40" t="n">
        <x:v>0</x:v>
      </x:c>
      <x:c r="G266" s="40" t="n">
        <x:v>61.702127659574394</x:v>
      </x:c>
      <x:c r="H266" s="40" t="n">
        <x:v>0.1167194017653042</x:v>
      </x:c>
      <x:c r="I266" t="n">
        <x:v>0</x:v>
      </x:c>
      <x:c r="J266" s="17" t="b">
        <x:v>1</x:v>
      </x:c>
    </x:row>
    <x:row r="267">
      <x:c r="A267" t="str">
        <x:v>PoT</x:v>
      </x:c>
      <x:c r="B267" t="str">
        <x:v>Posterior triangular thalamic nucleus</x:v>
      </x:c>
      <x:c r="C267" t="str">
        <x:v>Thalamus</x:v>
      </x:c>
      <x:c r="D267" s="17" t="b">
        <x:v>1</x:v>
      </x:c>
      <x:c r="E267" s="40" t="n">
        <x:v>-0.83</x:v>
      </x:c>
      <x:c r="F267" s="40" t="n">
        <x:v>0</x:v>
      </x:c>
      <x:c r="G267" s="40" t="n">
        <x:v>0</x:v>
      </x:c>
      <x:c r="H267" s="40" t="n">
        <x:v>0.1616999363633958</x:v>
      </x:c>
      <x:c r="I267" t="n">
        <x:v>0</x:v>
      </x:c>
      <x:c r="J267" s="17" t="b">
        <x:v>1</x:v>
      </x:c>
    </x:row>
    <x:row r="268">
      <x:c r="A268" t="str">
        <x:v>RE</x:v>
      </x:c>
      <x:c r="B268" t="str">
        <x:v>Nucleus of reuniens</x:v>
      </x:c>
      <x:c r="C268" t="str">
        <x:v>Thalamus</x:v>
      </x:c>
      <x:c r="D268" s="17" t="b">
        <x:v>0</x:v>
      </x:c>
      <x:c r="E268" s="40"/>
      <x:c r="F268" s="40"/>
      <x:c r="G268" s="40"/>
      <x:c r="H268" s="40"/>
      <x:c r="I268"/>
      <x:c r="J268" s="17" t="b">
        <x:v>0</x:v>
      </x:c>
    </x:row>
    <x:row r="269">
      <x:c r="A269" t="str">
        <x:v>RH</x:v>
      </x:c>
      <x:c r="B269" t="str">
        <x:v>Rhomboid nucleus</x:v>
      </x:c>
      <x:c r="C269" t="str">
        <x:v>Thalamus</x:v>
      </x:c>
      <x:c r="D269" s="17" t="b">
        <x:v>0</x:v>
      </x:c>
      <x:c r="E269" s="40"/>
      <x:c r="F269" s="40"/>
      <x:c r="G269" s="40"/>
      <x:c r="H269" s="40"/>
      <x:c r="I269"/>
      <x:c r="J269" s="17" t="b">
        <x:v>0</x:v>
      </x:c>
    </x:row>
    <x:row r="270">
      <x:c r="A270" t="str">
        <x:v>RT</x:v>
      </x:c>
      <x:c r="B270" t="str">
        <x:v>Reticular nucleus of the thalamus</x:v>
      </x:c>
      <x:c r="C270" t="str">
        <x:v>Thalamus</x:v>
      </x:c>
      <x:c r="D270" s="17" t="b">
        <x:v>1</x:v>
      </x:c>
      <x:c r="E270" s="40" t="n">
        <x:v>-0.73</x:v>
      </x:c>
      <x:c r="F270" s="40" t="n">
        <x:v>0</x:v>
      </x:c>
      <x:c r="G270" s="40" t="n">
        <x:v>74.4680851063829</x:v>
      </x:c>
      <x:c r="H270" s="40" t="n">
        <x:v>0.3282248813668498</x:v>
      </x:c>
      <x:c r="I270" t="n">
        <x:v>1</x:v>
      </x:c>
      <x:c r="J270" s="17" t="b">
        <x:v>1</x:v>
      </x:c>
    </x:row>
    <x:row r="271">
      <x:c r="A271" t="str">
        <x:v>SGN</x:v>
      </x:c>
      <x:c r="B271" t="str">
        <x:v>Suprageniculate nucleus</x:v>
      </x:c>
      <x:c r="C271" t="str">
        <x:v>Thalamus</x:v>
      </x:c>
      <x:c r="D271" s="17" t="b">
        <x:v>1</x:v>
      </x:c>
      <x:c r="E271" s="40" t="n">
        <x:v>-0.61</x:v>
      </x:c>
      <x:c r="F271" s="40" t="n">
        <x:v>1</x:v>
      </x:c>
      <x:c r="G271" s="40" t="n">
        <x:v>51.063829787234</x:v>
      </x:c>
      <x:c r="H271" s="40" t="n">
        <x:v>0.3185001555348991</x:v>
      </x:c>
      <x:c r="I271" t="n">
        <x:v>1</x:v>
      </x:c>
      <x:c r="J271" s="17" t="b">
        <x:v>1</x:v>
      </x:c>
    </x:row>
    <x:row r="272">
      <x:c r="A272" t="str">
        <x:v>SMT</x:v>
      </x:c>
      <x:c r="B272" t="str">
        <x:v>Submedial nucleus of the thalamus</x:v>
      </x:c>
      <x:c r="C272" t="str">
        <x:v>Thalamus</x:v>
      </x:c>
      <x:c r="D272" s="17" t="b">
        <x:v>1</x:v>
      </x:c>
      <x:c r="E272" s="40" t="n">
        <x:v>-0.58</x:v>
      </x:c>
      <x:c r="F272" s="40" t="n">
        <x:v>1</x:v>
      </x:c>
      <x:c r="G272" s="40" t="n">
        <x:v>95.7446808510638</x:v>
      </x:c>
      <x:c r="H272" s="40" t="n">
        <x:v>0.3083667942226739</x:v>
      </x:c>
      <x:c r="I272" t="n">
        <x:v>1</x:v>
      </x:c>
      <x:c r="J272" s="17" t="b">
        <x:v>1</x:v>
      </x:c>
    </x:row>
    <x:row r="273">
      <x:c r="A273" t="str">
        <x:v>SPA</x:v>
      </x:c>
      <x:c r="B273" t="str">
        <x:v>Subparafascicular area</x:v>
      </x:c>
      <x:c r="C273" t="str">
        <x:v>Thalamus</x:v>
      </x:c>
      <x:c r="D273" s="17" t="b">
        <x:v>0</x:v>
      </x:c>
      <x:c r="E273" s="40"/>
      <x:c r="F273" s="40"/>
      <x:c r="G273" s="40"/>
      <x:c r="H273" s="40"/>
      <x:c r="I273"/>
      <x:c r="J273" s="17" t="b">
        <x:v>0</x:v>
      </x:c>
    </x:row>
    <x:row r="274">
      <x:c r="A274" t="str">
        <x:v>SPF</x:v>
      </x:c>
      <x:c r="B274" t="str">
        <x:v>Subparafascicular nucleus</x:v>
      </x:c>
      <x:c r="C274" t="str">
        <x:v>Thalamus</x:v>
      </x:c>
      <x:c r="D274" s="17" t="b">
        <x:v>1</x:v>
      </x:c>
      <x:c r="E274" s="40" t="n">
        <x:v>-0.46</x:v>
      </x:c>
      <x:c r="F274" s="40" t="n">
        <x:v>1</x:v>
      </x:c>
      <x:c r="G274" s="40"/>
      <x:c r="H274" s="40"/>
      <x:c r="I274"/>
      <x:c r="J274" s="17" t="b">
        <x:v>1</x:v>
      </x:c>
    </x:row>
    <x:row r="275">
      <x:c r="A275" t="str">
        <x:v>SubG</x:v>
      </x:c>
      <x:c r="B275" t="str">
        <x:v>Subgeniculate nucleus</x:v>
      </x:c>
      <x:c r="C275" t="str">
        <x:v>Thalamus</x:v>
      </x:c>
      <x:c r="D275" s="17" t="b">
        <x:v>0</x:v>
      </x:c>
      <x:c r="E275" s="40"/>
      <x:c r="F275" s="40"/>
      <x:c r="G275" s="40"/>
      <x:c r="H275" s="40"/>
      <x:c r="I275"/>
      <x:c r="J275" s="17" t="b">
        <x:v>0</x:v>
      </x:c>
    </x:row>
    <x:row r="276">
      <x:c r="A276" t="str">
        <x:v>VAL</x:v>
      </x:c>
      <x:c r="B276" t="str">
        <x:v>Ventral anterior-lateral complex of the thalamus</x:v>
      </x:c>
      <x:c r="C276" t="str">
        <x:v>Thalamus</x:v>
      </x:c>
      <x:c r="D276" s="17" t="b">
        <x:v>1</x:v>
      </x:c>
      <x:c r="E276" s="40" t="n">
        <x:v>-0.65</x:v>
      </x:c>
      <x:c r="F276" s="40" t="n">
        <x:v>1</x:v>
      </x:c>
      <x:c r="G276" s="40" t="n">
        <x:v>38.2978723404255</x:v>
      </x:c>
      <x:c r="H276" s="40" t="n">
        <x:v>0.1427770162750624</x:v>
      </x:c>
      <x:c r="I276" t="n">
        <x:v>1</x:v>
      </x:c>
      <x:c r="J276" s="17" t="b">
        <x:v>1</x:v>
      </x:c>
    </x:row>
    <x:row r="277">
      <x:c r="A277" t="str">
        <x:v>VM</x:v>
      </x:c>
      <x:c r="B277" t="str">
        <x:v>Ventral medial nucleus of the thalamus</x:v>
      </x:c>
      <x:c r="C277" t="str">
        <x:v>Thalamus</x:v>
      </x:c>
      <x:c r="D277" s="17" t="b">
        <x:v>1</x:v>
      </x:c>
      <x:c r="E277" s="40" t="n">
        <x:v>-0.45</x:v>
      </x:c>
      <x:c r="F277" s="40" t="n">
        <x:v>1</x:v>
      </x:c>
      <x:c r="G277" s="40" t="n">
        <x:v>46.808510638297804</x:v>
      </x:c>
      <x:c r="H277" s="40" t="n">
        <x:v>0.4754981807229987</x:v>
      </x:c>
      <x:c r="I277" t="n">
        <x:v>1</x:v>
      </x:c>
      <x:c r="J277" s="17" t="b">
        <x:v>1</x:v>
      </x:c>
    </x:row>
    <x:row r="278">
      <x:c r="A278" t="str">
        <x:v>VPL</x:v>
      </x:c>
      <x:c r="B278" t="str">
        <x:v>Ventral posterolateral nucleus of the thalamus</x:v>
      </x:c>
      <x:c r="C278" t="str">
        <x:v>Thalamus</x:v>
      </x:c>
      <x:c r="D278" s="17" t="b">
        <x:v>1</x:v>
      </x:c>
      <x:c r="E278" s="40" t="n">
        <x:v>-0.7</x:v>
      </x:c>
      <x:c r="F278" s="40" t="n">
        <x:v>1</x:v>
      </x:c>
      <x:c r="G278" s="40" t="n">
        <x:v>65.9574468085106</x:v>
      </x:c>
      <x:c r="H278" s="40" t="n">
        <x:v>0.2080403670156586</x:v>
      </x:c>
      <x:c r="I278" t="n">
        <x:v>1</x:v>
      </x:c>
      <x:c r="J278" s="17" t="b">
        <x:v>1</x:v>
      </x:c>
    </x:row>
    <x:row r="279">
      <x:c r="A279" t="str">
        <x:v>VPLpc</x:v>
      </x:c>
      <x:c r="B279" t="str">
        <x:v>Ventral posterolateral nucleus of the thalamus parvicellular part</x:v>
      </x:c>
      <x:c r="C279" t="str">
        <x:v>Thalamus</x:v>
      </x:c>
      <x:c r="D279" s="17" t="b">
        <x:v>1</x:v>
      </x:c>
      <x:c r="E279" s="40" t="n">
        <x:v>-0.81</x:v>
      </x:c>
      <x:c r="F279" s="40" t="n">
        <x:v>0</x:v>
      </x:c>
      <x:c r="G279" s="40" t="n">
        <x:v>70.2127659574468</x:v>
      </x:c>
      <x:c r="H279" s="40" t="n">
        <x:v>0.2387066945271397</x:v>
      </x:c>
      <x:c r="I279" t="n">
        <x:v>0</x:v>
      </x:c>
      <x:c r="J279" s="17" t="b">
        <x:v>1</x:v>
      </x:c>
    </x:row>
    <x:row r="280">
      <x:c r="A280" t="str">
        <x:v>VPM</x:v>
      </x:c>
      <x:c r="B280" t="str">
        <x:v>Ventral posteromedial nucleus of the thalamus</x:v>
      </x:c>
      <x:c r="C280" t="str">
        <x:v>Thalamus</x:v>
      </x:c>
      <x:c r="D280" s="17" t="b">
        <x:v>1</x:v>
      </x:c>
      <x:c r="E280" s="40" t="n">
        <x:v>-1.13</x:v>
      </x:c>
      <x:c r="F280" s="40" t="n">
        <x:v>0</x:v>
      </x:c>
      <x:c r="G280" s="40" t="n">
        <x:v>76.595744680851</x:v>
      </x:c>
      <x:c r="H280" s="40" t="n">
        <x:v>0.0790733600301591</x:v>
      </x:c>
      <x:c r="I280" t="n">
        <x:v>1</x:v>
      </x:c>
      <x:c r="J280" s="17" t="b">
        <x:v>1</x:v>
      </x:c>
    </x:row>
    <x:row r="281">
      <x:c r="A281" t="str">
        <x:v>VPMpc</x:v>
      </x:c>
      <x:c r="B281" t="str">
        <x:v>Ventral posteromedial nucleus of the thalamus parvicellular part</x:v>
      </x:c>
      <x:c r="C281" t="str">
        <x:v>Thalamus</x:v>
      </x:c>
      <x:c r="D281" s="17" t="b">
        <x:v>1</x:v>
      </x:c>
      <x:c r="E281" s="40" t="n">
        <x:v>-0.92</x:v>
      </x:c>
      <x:c r="F281" s="40" t="n">
        <x:v>0</x:v>
      </x:c>
      <x:c r="G281" s="40"/>
      <x:c r="H281" s="40"/>
      <x:c r="I281"/>
      <x:c r="J281" s="17" t="b">
        <x:v>1</x:v>
      </x:c>
    </x:row>
    <x:row r="282">
      <x:c r="A282" t="str">
        <x:v>Xi</x:v>
      </x:c>
      <x:c r="B282" t="str">
        <x:v>Xiphoid thalamic nucleus</x:v>
      </x:c>
      <x:c r="C282" t="str">
        <x:v>Thalamus</x:v>
      </x:c>
      <x:c r="D282" s="17" t="b">
        <x:v>0</x:v>
      </x:c>
      <x:c r="E282" s="40"/>
      <x:c r="F282" s="40"/>
      <x:c r="G282" s="40"/>
      <x:c r="H282" s="40"/>
      <x:c r="I282"/>
      <x:c r="J282" s="17" t="b">
        <x:v>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9ae4555a73f49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3" t="str">
        <x:v>README: definitions, provenance, and interpretation rules</x:v>
      </x:c>
      <x:c r="B1" s="3"/>
      <x:c r="C1" s="3"/>
      <x:c r="D1" s="3"/>
    </x:row>
    <x:row r="3" ht="34" customHeight="1">
      <x:c r="A3" s="89" t="str">
        <x:v>Item</x:v>
      </x:c>
      <x:c r="B3" s="90" t="str">
        <x:v>Details</x:v>
      </x:c>
    </x:row>
    <x:row r="4">
      <x:c r="A4" s="97" t="str">
        <x:v>Purpose</x:v>
      </x:c>
      <x:c r="B4" s="95" t="str">
        <x:v>Region-by-region comparison of the user's Q3 population-trajectory analysis with the IBL Brain-Wide Map paper.</x:v>
      </x:c>
    </x:row>
    <x:row r="5">
      <x:c r="A5" s="97" t="str">
        <x:v>User source</x:v>
      </x:c>
      <x:c r="B5" s="95" t="str">
        <x:v>/Users/arashkanafchian/Downloads/Arash_Project_Q6/IBL_BWM_Neuromatch_tutorial_raw_Final.ipynb</x:v>
      </x:c>
    </x:row>
    <x:row r="6">
      <x:c r="A6" s="97" t="str">
        <x:v>Paper PDF</x:v>
      </x:c>
      <x:c r="B6" s="95" t="str">
        <x:v>/Users/arashkanafchian/Desktop/s41586-025-09235-0.pdf</x:v>
      </x:c>
    </x:row>
    <x:row r="7">
      <x:c r="A7" s="97" t="str">
        <x:v>Relevant paper location</x:v>
      </x:c>
      <x:c r="B7" s="95" t="str">
        <x:v>Representation of visual stimulus; Fig. 4d,l,m</x:v>
      </x:c>
    </x:row>
    <x:row r="8">
      <x:c r="A8" s="97" t="str">
        <x:v>Official code result table</x:v>
      </x:c>
      <x:c r="B8" s="95" t="str">
        <x:v>/Users/arashkanafchian/Documents/ChatGPT/Q6/group_2_clean/02_literature_review_tab/06_contributor_not_specified/053_ibl_brainwide_map/code/brainwidemap/meta/Results/stim.pkl</x:v>
      </x:c>
    </x:row>
    <x:row r="9">
      <x:c r="A9" s="97" t="str">
        <x:v>Official region/significance table</x:v>
      </x:c>
      <x:c r="B9" s="95" t="str">
        <x:v>/Users/arashkanafchian/Documents/ChatGPT/Q6/group_2_clean/02_literature_review_tab/06_contributor_not_specified/053_ibl_brainwide_map/code/brainwidemap/meta/region_info.csv</x:v>
      </x:c>
    </x:row>
    <x:row r="10">
      <x:c r="A10" s="97" t="str">
        <x:v>Official GitHub</x:v>
      </x:c>
      <x:c r="B10" s="95" t="str">
        <x:v>https://github.com/int-brain-lab/paper-brain-wide-map</x:v>
      </x:c>
    </x:row>
    <x:row r="11">
      <x:c r="A11" s="97" t="str">
        <x:v>DOI</x:v>
      </x:c>
      <x:c r="B11" s="95" t="str">
        <x:v>https://doi.org/10.1038/s41586-025-09235-0</x:v>
      </x:c>
    </x:row>
    <x:row r="12">
      <x:c r="A12" s="97" t="str">
        <x:v>Paper analysed</x:v>
      </x:c>
      <x:c r="B12" s="95" t="str">
        <x:v>True when region_info.csv contains a non-missing stim_euc_sig value; 201 regions in the paper.</x:v>
      </x:c>
    </x:row>
    <x:row r="13">
      <x:c r="A13" s="97" t="str">
        <x:v>Paper significant</x:v>
      </x:c>
      <x:c r="B13" s="95" t="str">
        <x:v>Published population-trajectory significance flag (104 of 201 regions).</x:v>
      </x:c>
    </x:row>
    <x:row r="14">
      <x:c r="A14" s="97" t="str">
        <x:v>Paper release latency</x:v>
      </x:c>
      <x:c r="B14" s="95" t="str">
        <x:v>euclidean_latency from the official released Results/stim.pkl table. It is available for a subset of regions and may differ from approximate full-window values stated in the PDF text.</x:v>
      </x:c>
    </x:row>
    <x:row r="15">
      <x:c r="A15" s="97" t="str">
        <x:v>PDF-explicit latency</x:v>
      </x:c>
      <x:c r="B15" s="95" t="str">
        <x:v>Only ten highlighted regions receive a PDF value/range. No value is invented for other regions.</x:v>
      </x:c>
    </x:row>
    <x:row r="16">
      <x:c r="A16" s="97" t="str">
        <x:v>User reliable significant</x:v>
      </x:c>
      <x:c r="B16" s="95" t="str">
        <x:v>user_significant AND user_passes_coverage.</x:v>
      </x:c>
    </x:row>
    <x:row r="17">
      <x:c r="A17" s="97" t="str">
        <x:v>Release latency status</x:v>
      </x:c>
      <x:c r="B17" s="95" t="str">
        <x:v>Close: absolute difference &lt;=10 ms; Similar: 10-20 ms; Different: &gt;20 ms. Only interpreted when both pipelines are significant and the release latency is available.</x:v>
      </x:c>
    </x:row>
    <x:row r="18">
      <x:c r="A18" s="97" t="str">
        <x:v>PDF status</x:v>
      </x:c>
      <x:c r="B18" s="95" t="str">
        <x:v>Within the stated value/range, or within 15 ms for approximate single-valued statements.</x:v>
      </x:c>
    </x:row>
    <x:row r="19">
      <x:c r="A19" s="98" t="str">
        <x:v>Important limitation</x:v>
      </x:c>
      <x:c r="B19" s="96" t="str">
        <x:v>This is a comparison, not an exact replication: temporal binning, QC, trial inclusion, pseudo-trial implementation, and region inclusion differ.</x:v>
      </x:c>
    </x:row>
  </x:sheetData>
  <x:mergeCells>
    <x:mergeCell ref="A1:D1"/>
  </x:mergeCells>
  <x:pageMargins left="0.7" right="0.7" top="0.75" bottom="0.75" header="0.3" footer="0.3"/>
</x:worksheet>
</file>